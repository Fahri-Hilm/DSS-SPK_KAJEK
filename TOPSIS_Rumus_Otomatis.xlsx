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a Input" sheetId="1" state="visible" r:id="rId1"/>
    <sheet xmlns:r="http://schemas.openxmlformats.org/officeDocument/2006/relationships" name="2. Bobot &amp; Kriteria" sheetId="2" state="visible" r:id="rId2"/>
    <sheet xmlns:r="http://schemas.openxmlformats.org/officeDocument/2006/relationships" name="3. Normalisasi" sheetId="3" state="visible" r:id="rId3"/>
    <sheet xmlns:r="http://schemas.openxmlformats.org/officeDocument/2006/relationships" name="4. Normalisasi Terbobot" sheetId="4" state="visible" r:id="rId4"/>
    <sheet xmlns:r="http://schemas.openxmlformats.org/officeDocument/2006/relationships" name="5. Solusi Ideal" sheetId="5" state="visible" r:id="rId5"/>
    <sheet xmlns:r="http://schemas.openxmlformats.org/officeDocument/2006/relationships" name="6. Hasil TOP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FF0000"/>
      <sz val="12"/>
    </font>
    <font>
      <b val="1"/>
    </font>
    <font>
      <b val="1"/>
      <color rgb="00FF0000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3" customWidth="1" min="3" max="3"/>
    <col width="5" customWidth="1" min="4" max="4"/>
    <col width="5" customWidth="1" min="5" max="5"/>
    <col width="10" customWidth="1" min="6" max="6"/>
    <col width="7" customWidth="1" min="7" max="7"/>
  </cols>
  <sheetData>
    <row r="1">
      <c r="A1" s="1" t="inlineStr">
        <is>
          <t>DATA INPUT - UBAH NILAI DI SINI</t>
        </is>
      </c>
    </row>
    <row r="2"/>
    <row r="3">
      <c r="A3" s="2" t="inlineStr">
        <is>
          <t>No</t>
        </is>
      </c>
      <c r="B3" s="2" t="inlineStr">
        <is>
          <t>Vendor</t>
        </is>
      </c>
      <c r="C3" s="2" t="inlineStr">
        <is>
          <t>Nama Paket</t>
        </is>
      </c>
      <c r="D3" s="2" t="inlineStr">
        <is>
          <t>CPU</t>
        </is>
      </c>
      <c r="E3" s="2" t="inlineStr">
        <is>
          <t>RAM</t>
        </is>
      </c>
      <c r="F3" s="2" t="inlineStr">
        <is>
          <t>Disk I/O</t>
        </is>
      </c>
      <c r="G3" s="2" t="inlineStr">
        <is>
          <t>Harga</t>
        </is>
      </c>
    </row>
    <row r="4">
      <c r="A4" t="n">
        <v>1</v>
      </c>
      <c r="B4" t="inlineStr">
        <is>
          <t>Hetzner</t>
        </is>
      </c>
      <c r="C4" t="inlineStr">
        <is>
          <t>CPX31</t>
        </is>
      </c>
      <c r="D4" s="3" t="n">
        <v>4</v>
      </c>
      <c r="E4" s="3" t="n">
        <v>8</v>
      </c>
      <c r="F4" s="3" t="n">
        <v>125</v>
      </c>
      <c r="G4" s="3" t="n">
        <v>9.51</v>
      </c>
    </row>
    <row r="5">
      <c r="A5" t="n">
        <v>2</v>
      </c>
      <c r="B5" t="inlineStr">
        <is>
          <t>OVHcloud</t>
        </is>
      </c>
      <c r="C5" t="inlineStr">
        <is>
          <t>VLE-4 (Comfort)</t>
        </is>
      </c>
      <c r="D5" s="3" t="n">
        <v>4</v>
      </c>
      <c r="E5" s="3" t="n">
        <v>8</v>
      </c>
      <c r="F5" s="3" t="n">
        <v>125</v>
      </c>
      <c r="G5" s="3" t="n">
        <v>14.5</v>
      </c>
    </row>
    <row r="6">
      <c r="A6" t="n">
        <v>3</v>
      </c>
      <c r="B6" t="inlineStr">
        <is>
          <t>Dewaweb</t>
        </is>
      </c>
      <c r="C6" t="inlineStr">
        <is>
          <t>Cloud VPS (Paket M)</t>
        </is>
      </c>
      <c r="D6" s="3" t="n">
        <v>6</v>
      </c>
      <c r="E6" s="3" t="n">
        <v>16</v>
      </c>
      <c r="F6" s="3" t="n">
        <v>125</v>
      </c>
      <c r="G6" s="3" t="n">
        <v>16.32</v>
      </c>
    </row>
    <row r="7">
      <c r="A7" t="n">
        <v>4</v>
      </c>
      <c r="B7" t="inlineStr">
        <is>
          <t>IDCloudHost</t>
        </is>
      </c>
      <c r="C7" t="inlineStr">
        <is>
          <t>Cloud VPS Pro (8GB)</t>
        </is>
      </c>
      <c r="D7" s="3" t="n">
        <v>4</v>
      </c>
      <c r="E7" s="3" t="n">
        <v>8</v>
      </c>
      <c r="F7" s="3" t="n">
        <v>1250</v>
      </c>
      <c r="G7" s="3" t="n">
        <v>19.63</v>
      </c>
    </row>
    <row r="8">
      <c r="A8" t="n">
        <v>5</v>
      </c>
      <c r="B8" t="inlineStr">
        <is>
          <t>Niagahoster</t>
        </is>
      </c>
      <c r="C8" t="inlineStr">
        <is>
          <t>Cloud VPS KVM 8GB</t>
        </is>
      </c>
      <c r="D8" s="3" t="n">
        <v>4</v>
      </c>
      <c r="E8" s="3" t="n">
        <v>8</v>
      </c>
      <c r="F8" s="3" t="n">
        <v>12.5</v>
      </c>
      <c r="G8" s="3" t="n">
        <v>21.47</v>
      </c>
    </row>
    <row r="9">
      <c r="A9" t="n">
        <v>6</v>
      </c>
      <c r="B9" t="inlineStr">
        <is>
          <t>Biznet Gio</t>
        </is>
      </c>
      <c r="C9" t="inlineStr">
        <is>
          <t>NEO Lite (MM.8.4)</t>
        </is>
      </c>
      <c r="D9" s="3" t="n">
        <v>4</v>
      </c>
      <c r="E9" s="3" t="n">
        <v>8</v>
      </c>
      <c r="F9" s="3" t="n">
        <v>125</v>
      </c>
      <c r="G9" s="3" t="n">
        <v>21.78</v>
      </c>
    </row>
    <row r="10">
      <c r="A10" t="n">
        <v>7</v>
      </c>
      <c r="B10" t="inlineStr">
        <is>
          <t>Rumahweb</t>
        </is>
      </c>
      <c r="C10" t="inlineStr">
        <is>
          <t>Cloud VPS 8GB</t>
        </is>
      </c>
      <c r="D10" s="3" t="n">
        <v>4</v>
      </c>
      <c r="E10" s="3" t="n">
        <v>8</v>
      </c>
      <c r="F10" s="3" t="n">
        <v>125</v>
      </c>
      <c r="G10" s="3" t="n">
        <v>24.54</v>
      </c>
    </row>
    <row r="11">
      <c r="A11" t="n">
        <v>8</v>
      </c>
      <c r="B11" t="inlineStr">
        <is>
          <t>DomaiNesia</t>
        </is>
      </c>
      <c r="C11" t="inlineStr">
        <is>
          <t>Cloud VPS Cirrus 8GB</t>
        </is>
      </c>
      <c r="D11" s="3" t="n">
        <v>4</v>
      </c>
      <c r="E11" s="3" t="n">
        <v>8</v>
      </c>
      <c r="F11" s="3" t="n">
        <v>125</v>
      </c>
      <c r="G11" s="3" t="n">
        <v>25.52</v>
      </c>
    </row>
    <row r="12">
      <c r="A12" t="n">
        <v>9</v>
      </c>
      <c r="B12" t="inlineStr">
        <is>
          <t>Qwords</t>
        </is>
      </c>
      <c r="C12" t="inlineStr">
        <is>
          <t>Cloud VPS KVM SC8</t>
        </is>
      </c>
      <c r="D12" s="3" t="n">
        <v>4</v>
      </c>
      <c r="E12" s="3" t="n">
        <v>8</v>
      </c>
      <c r="F12" s="3" t="n">
        <v>125</v>
      </c>
      <c r="G12" s="3" t="n">
        <v>33.74</v>
      </c>
    </row>
    <row r="13">
      <c r="A13" t="n">
        <v>10</v>
      </c>
      <c r="B13" t="inlineStr">
        <is>
          <t>Jagoan Hosting</t>
        </is>
      </c>
      <c r="C13" t="inlineStr">
        <is>
          <t>Cloud VPS Mega</t>
        </is>
      </c>
      <c r="D13" s="3" t="n">
        <v>4</v>
      </c>
      <c r="E13" s="3" t="n">
        <v>8</v>
      </c>
      <c r="F13" s="3" t="n">
        <v>125</v>
      </c>
      <c r="G13" s="3" t="n">
        <v>39.45</v>
      </c>
    </row>
    <row r="14">
      <c r="A14" t="n">
        <v>11</v>
      </c>
      <c r="B14" t="inlineStr">
        <is>
          <t>Linode</t>
        </is>
      </c>
      <c r="C14" t="inlineStr">
        <is>
          <t>Shared Linode 8GB</t>
        </is>
      </c>
      <c r="D14" s="3" t="n">
        <v>4</v>
      </c>
      <c r="E14" s="3" t="n">
        <v>8</v>
      </c>
      <c r="F14" s="3" t="n">
        <v>625</v>
      </c>
      <c r="G14" s="3" t="n">
        <v>40</v>
      </c>
    </row>
    <row r="15">
      <c r="A15" t="n">
        <v>12</v>
      </c>
      <c r="B15" t="inlineStr">
        <is>
          <t>DigitalOcean</t>
        </is>
      </c>
      <c r="C15" t="inlineStr">
        <is>
          <t>Premium Droplet</t>
        </is>
      </c>
      <c r="D15" s="3" t="n">
        <v>4</v>
      </c>
      <c r="E15" s="3" t="n">
        <v>8</v>
      </c>
      <c r="F15" s="3" t="n">
        <v>500</v>
      </c>
      <c r="G15" s="3" t="n">
        <v>48</v>
      </c>
    </row>
    <row r="16">
      <c r="A16" t="n">
        <v>13</v>
      </c>
      <c r="B16" t="inlineStr">
        <is>
          <t>Vultr</t>
        </is>
      </c>
      <c r="C16" t="inlineStr">
        <is>
          <t>Cloud Compute</t>
        </is>
      </c>
      <c r="D16" s="3" t="n">
        <v>4</v>
      </c>
      <c r="E16" s="3" t="n">
        <v>8</v>
      </c>
      <c r="F16" s="3" t="n">
        <v>1250</v>
      </c>
      <c r="G16" s="3" t="n">
        <v>48</v>
      </c>
    </row>
    <row r="17">
      <c r="A17" t="n">
        <v>14</v>
      </c>
      <c r="B17" t="inlineStr">
        <is>
          <t>Tencent Cloud</t>
        </is>
      </c>
      <c r="C17" t="inlineStr">
        <is>
          <t>S5.LARGE16 + 100GB</t>
        </is>
      </c>
      <c r="D17" s="3" t="n">
        <v>4</v>
      </c>
      <c r="E17" s="3" t="n">
        <v>16</v>
      </c>
      <c r="F17" s="3" t="n">
        <v>187.5</v>
      </c>
      <c r="G17" s="3" t="n">
        <v>52</v>
      </c>
    </row>
    <row r="18">
      <c r="A18" t="n">
        <v>15</v>
      </c>
      <c r="B18" t="inlineStr">
        <is>
          <t>Scaleway</t>
        </is>
      </c>
      <c r="C18" t="inlineStr">
        <is>
          <t>PRO2-S</t>
        </is>
      </c>
      <c r="D18" s="3" t="n">
        <v>4</v>
      </c>
      <c r="E18" s="3" t="n">
        <v>16</v>
      </c>
      <c r="F18" s="3" t="n">
        <v>187.5</v>
      </c>
      <c r="G18" s="3" t="n">
        <v>52.2</v>
      </c>
    </row>
    <row r="19">
      <c r="A19" t="n">
        <v>16</v>
      </c>
      <c r="B19" t="inlineStr">
        <is>
          <t>UpCloud</t>
        </is>
      </c>
      <c r="C19" t="inlineStr">
        <is>
          <t>General Purpose</t>
        </is>
      </c>
      <c r="D19" s="3" t="n">
        <v>4</v>
      </c>
      <c r="E19" s="3" t="n">
        <v>8</v>
      </c>
      <c r="F19" s="3" t="n">
        <v>125</v>
      </c>
      <c r="G19" s="3" t="n">
        <v>56</v>
      </c>
    </row>
    <row r="20">
      <c r="A20" t="n">
        <v>17</v>
      </c>
      <c r="B20" t="inlineStr">
        <is>
          <t>Alibaba Cloud</t>
        </is>
      </c>
      <c r="C20" t="inlineStr">
        <is>
          <t>ecs.g6.xlarge + 100GB</t>
        </is>
      </c>
      <c r="D20" s="3" t="n">
        <v>4</v>
      </c>
      <c r="E20" s="3" t="n">
        <v>16</v>
      </c>
      <c r="F20" s="3" t="n">
        <v>1250</v>
      </c>
      <c r="G20" s="3" t="n">
        <v>82</v>
      </c>
    </row>
    <row r="21">
      <c r="A21" t="n">
        <v>18</v>
      </c>
      <c r="B21" t="inlineStr">
        <is>
          <t>Google Cloud</t>
        </is>
      </c>
      <c r="C21" t="inlineStr">
        <is>
          <t>e2-standard-4 + 100GB</t>
        </is>
      </c>
      <c r="D21" s="3" t="n">
        <v>4</v>
      </c>
      <c r="E21" s="3" t="n">
        <v>16</v>
      </c>
      <c r="F21" s="3" t="n">
        <v>1000</v>
      </c>
      <c r="G21" s="3" t="n">
        <v>128</v>
      </c>
    </row>
    <row r="22">
      <c r="A22" t="n">
        <v>19</v>
      </c>
      <c r="B22" t="inlineStr">
        <is>
          <t>AWS EC2</t>
        </is>
      </c>
      <c r="C22" t="inlineStr">
        <is>
          <t>t3.xlarge + 100GB</t>
        </is>
      </c>
      <c r="D22" s="3" t="n">
        <v>4</v>
      </c>
      <c r="E22" s="3" t="n">
        <v>16</v>
      </c>
      <c r="F22" s="3" t="n">
        <v>625</v>
      </c>
      <c r="G22" s="3" t="n">
        <v>130</v>
      </c>
    </row>
    <row r="23">
      <c r="A23" t="n">
        <v>20</v>
      </c>
      <c r="B23" t="inlineStr">
        <is>
          <t>Azure</t>
        </is>
      </c>
      <c r="C23" t="inlineStr">
        <is>
          <t>B4ms + 100GB</t>
        </is>
      </c>
      <c r="D23" s="3" t="n">
        <v>4</v>
      </c>
      <c r="E23" s="3" t="n">
        <v>16</v>
      </c>
      <c r="F23" s="3" t="n">
        <v>12.5</v>
      </c>
      <c r="G23" s="3" t="n">
        <v>141</v>
      </c>
    </row>
    <row r="24"/>
    <row r="25">
      <c r="A25" s="4" t="inlineStr">
        <is>
          <t>⚠️ UBAH NILAI DI KOLOM KUNING (D-G) UNTUK RECALCULATE OTOMATIS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15" customWidth="1" min="4" max="4"/>
    <col width="12" customWidth="1" min="5" max="5"/>
  </cols>
  <sheetData>
    <row r="1">
      <c r="A1" s="1" t="inlineStr">
        <is>
          <t>BOBOT DAN TIPE KRITERIA</t>
        </is>
      </c>
    </row>
    <row r="2"/>
    <row r="3">
      <c r="A3" s="2" t="inlineStr">
        <is>
          <t>Kriteria</t>
        </is>
      </c>
      <c r="B3" s="2" t="inlineStr">
        <is>
          <t>CPU (C1)</t>
        </is>
      </c>
      <c r="C3" s="2" t="inlineStr">
        <is>
          <t>RAM (C2)</t>
        </is>
      </c>
      <c r="D3" s="2" t="inlineStr">
        <is>
          <t>Disk I/O (C3)</t>
        </is>
      </c>
      <c r="E3" s="2" t="inlineStr">
        <is>
          <t>Harga (C4)</t>
        </is>
      </c>
    </row>
    <row r="4">
      <c r="A4" t="inlineStr">
        <is>
          <t>Tipe</t>
        </is>
      </c>
      <c r="B4" t="inlineStr">
        <is>
          <t>BENEFIT</t>
        </is>
      </c>
      <c r="C4" t="inlineStr">
        <is>
          <t>BENEFIT</t>
        </is>
      </c>
      <c r="D4" t="inlineStr">
        <is>
          <t>BENEFIT</t>
        </is>
      </c>
      <c r="E4" t="inlineStr">
        <is>
          <t>COST</t>
        </is>
      </c>
    </row>
    <row r="5">
      <c r="A5" t="inlineStr">
        <is>
          <t>Bobot (W)</t>
        </is>
      </c>
      <c r="B5" s="3" t="n">
        <v>0.25</v>
      </c>
      <c r="C5" s="3" t="n">
        <v>0.25</v>
      </c>
      <c r="D5" s="3" t="n">
        <v>0.25</v>
      </c>
      <c r="E5" s="3" t="n">
        <v>0.25</v>
      </c>
    </row>
    <row r="6"/>
    <row r="7">
      <c r="A7" t="inlineStr">
        <is>
          <t>Total Bobot:</t>
        </is>
      </c>
      <c r="B7" s="5">
        <f>SUM(B5:E5)</f>
        <v/>
      </c>
    </row>
    <row r="8"/>
    <row r="9">
      <c r="A9" s="6" t="inlineStr">
        <is>
          <t>⚠️ UBAH BOBOT DI BARIS 5 (Total harus =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MATRIKS TERNORMALISASI (R)</t>
        </is>
      </c>
    </row>
    <row r="2">
      <c r="A2" s="7" t="inlineStr">
        <is>
          <t>Rumus: rij = xij / √(Σxij²)</t>
        </is>
      </c>
    </row>
    <row r="3"/>
    <row r="4">
      <c r="A4" s="2" t="inlineStr">
        <is>
          <t>Alternatif</t>
        </is>
      </c>
      <c r="B4" s="2" t="inlineStr">
        <is>
          <t>CPU (C1)</t>
        </is>
      </c>
      <c r="C4" s="2" t="inlineStr">
        <is>
          <t>RAM (C2)</t>
        </is>
      </c>
      <c r="D4" s="2" t="inlineStr">
        <is>
          <t>Disk I/O (C3)</t>
        </is>
      </c>
      <c r="E4" s="2" t="inlineStr">
        <is>
          <t>Harga (C4)</t>
        </is>
      </c>
    </row>
    <row r="5">
      <c r="A5" t="inlineStr">
        <is>
          <t>A1</t>
        </is>
      </c>
      <c r="B5">
        <f>'1. Data Input'!D4/SQRT(SUMPRODUCT('1. Data Input'!$D$4:$D$23,'1. Data Input'!$D$4:$D$23))</f>
        <v/>
      </c>
      <c r="C5">
        <f>'1. Data Input'!E4/SQRT(SUMPRODUCT('1. Data Input'!$E$4:$E$23,'1. Data Input'!$E$4:$E$23))</f>
        <v/>
      </c>
      <c r="D5">
        <f>'1. Data Input'!F4/SQRT(SUMPRODUCT('1. Data Input'!$F$4:$F$23,'1. Data Input'!$F$4:$F$23))</f>
        <v/>
      </c>
      <c r="E5">
        <f>'1. Data Input'!G4/SQRT(SUMPRODUCT('1. Data Input'!$G$4:$G$23,'1. Data Input'!$G$4:$G$23))</f>
        <v/>
      </c>
    </row>
    <row r="6">
      <c r="A6" t="inlineStr">
        <is>
          <t>A2</t>
        </is>
      </c>
      <c r="B6">
        <f>'1. Data Input'!D5/SQRT(SUMPRODUCT('1. Data Input'!$D$4:$D$23,'1. Data Input'!$D$4:$D$23))</f>
        <v/>
      </c>
      <c r="C6">
        <f>'1. Data Input'!E5/SQRT(SUMPRODUCT('1. Data Input'!$E$4:$E$23,'1. Data Input'!$E$4:$E$23))</f>
        <v/>
      </c>
      <c r="D6">
        <f>'1. Data Input'!F5/SQRT(SUMPRODUCT('1. Data Input'!$F$4:$F$23,'1. Data Input'!$F$4:$F$23))</f>
        <v/>
      </c>
      <c r="E6">
        <f>'1. Data Input'!G5/SQRT(SUMPRODUCT('1. Data Input'!$G$4:$G$23,'1. Data Input'!$G$4:$G$23))</f>
        <v/>
      </c>
    </row>
    <row r="7">
      <c r="A7" t="inlineStr">
        <is>
          <t>A3</t>
        </is>
      </c>
      <c r="B7">
        <f>'1. Data Input'!D6/SQRT(SUMPRODUCT('1. Data Input'!$D$4:$D$23,'1. Data Input'!$D$4:$D$23))</f>
        <v/>
      </c>
      <c r="C7">
        <f>'1. Data Input'!E6/SQRT(SUMPRODUCT('1. Data Input'!$E$4:$E$23,'1. Data Input'!$E$4:$E$23))</f>
        <v/>
      </c>
      <c r="D7">
        <f>'1. Data Input'!F6/SQRT(SUMPRODUCT('1. Data Input'!$F$4:$F$23,'1. Data Input'!$F$4:$F$23))</f>
        <v/>
      </c>
      <c r="E7">
        <f>'1. Data Input'!G6/SQRT(SUMPRODUCT('1. Data Input'!$G$4:$G$23,'1. Data Input'!$G$4:$G$23))</f>
        <v/>
      </c>
    </row>
    <row r="8">
      <c r="A8" t="inlineStr">
        <is>
          <t>A4</t>
        </is>
      </c>
      <c r="B8">
        <f>'1. Data Input'!D7/SQRT(SUMPRODUCT('1. Data Input'!$D$4:$D$23,'1. Data Input'!$D$4:$D$23))</f>
        <v/>
      </c>
      <c r="C8">
        <f>'1. Data Input'!E7/SQRT(SUMPRODUCT('1. Data Input'!$E$4:$E$23,'1. Data Input'!$E$4:$E$23))</f>
        <v/>
      </c>
      <c r="D8">
        <f>'1. Data Input'!F7/SQRT(SUMPRODUCT('1. Data Input'!$F$4:$F$23,'1. Data Input'!$F$4:$F$23))</f>
        <v/>
      </c>
      <c r="E8">
        <f>'1. Data Input'!G7/SQRT(SUMPRODUCT('1. Data Input'!$G$4:$G$23,'1. Data Input'!$G$4:$G$23))</f>
        <v/>
      </c>
    </row>
    <row r="9">
      <c r="A9" t="inlineStr">
        <is>
          <t>A5</t>
        </is>
      </c>
      <c r="B9">
        <f>'1. Data Input'!D8/SQRT(SUMPRODUCT('1. Data Input'!$D$4:$D$23,'1. Data Input'!$D$4:$D$23))</f>
        <v/>
      </c>
      <c r="C9">
        <f>'1. Data Input'!E8/SQRT(SUMPRODUCT('1. Data Input'!$E$4:$E$23,'1. Data Input'!$E$4:$E$23))</f>
        <v/>
      </c>
      <c r="D9">
        <f>'1. Data Input'!F8/SQRT(SUMPRODUCT('1. Data Input'!$F$4:$F$23,'1. Data Input'!$F$4:$F$23))</f>
        <v/>
      </c>
      <c r="E9">
        <f>'1. Data Input'!G8/SQRT(SUMPRODUCT('1. Data Input'!$G$4:$G$23,'1. Data Input'!$G$4:$G$23))</f>
        <v/>
      </c>
    </row>
    <row r="10">
      <c r="A10" t="inlineStr">
        <is>
          <t>A6</t>
        </is>
      </c>
      <c r="B10">
        <f>'1. Data Input'!D9/SQRT(SUMPRODUCT('1. Data Input'!$D$4:$D$23,'1. Data Input'!$D$4:$D$23))</f>
        <v/>
      </c>
      <c r="C10">
        <f>'1. Data Input'!E9/SQRT(SUMPRODUCT('1. Data Input'!$E$4:$E$23,'1. Data Input'!$E$4:$E$23))</f>
        <v/>
      </c>
      <c r="D10">
        <f>'1. Data Input'!F9/SQRT(SUMPRODUCT('1. Data Input'!$F$4:$F$23,'1. Data Input'!$F$4:$F$23))</f>
        <v/>
      </c>
      <c r="E10">
        <f>'1. Data Input'!G9/SQRT(SUMPRODUCT('1. Data Input'!$G$4:$G$23,'1. Data Input'!$G$4:$G$23))</f>
        <v/>
      </c>
    </row>
    <row r="11">
      <c r="A11" t="inlineStr">
        <is>
          <t>A7</t>
        </is>
      </c>
      <c r="B11">
        <f>'1. Data Input'!D10/SQRT(SUMPRODUCT('1. Data Input'!$D$4:$D$23,'1. Data Input'!$D$4:$D$23))</f>
        <v/>
      </c>
      <c r="C11">
        <f>'1. Data Input'!E10/SQRT(SUMPRODUCT('1. Data Input'!$E$4:$E$23,'1. Data Input'!$E$4:$E$23))</f>
        <v/>
      </c>
      <c r="D11">
        <f>'1. Data Input'!F10/SQRT(SUMPRODUCT('1. Data Input'!$F$4:$F$23,'1. Data Input'!$F$4:$F$23))</f>
        <v/>
      </c>
      <c r="E11">
        <f>'1. Data Input'!G10/SQRT(SUMPRODUCT('1. Data Input'!$G$4:$G$23,'1. Data Input'!$G$4:$G$23))</f>
        <v/>
      </c>
    </row>
    <row r="12">
      <c r="A12" t="inlineStr">
        <is>
          <t>A8</t>
        </is>
      </c>
      <c r="B12">
        <f>'1. Data Input'!D11/SQRT(SUMPRODUCT('1. Data Input'!$D$4:$D$23,'1. Data Input'!$D$4:$D$23))</f>
        <v/>
      </c>
      <c r="C12">
        <f>'1. Data Input'!E11/SQRT(SUMPRODUCT('1. Data Input'!$E$4:$E$23,'1. Data Input'!$E$4:$E$23))</f>
        <v/>
      </c>
      <c r="D12">
        <f>'1. Data Input'!F11/SQRT(SUMPRODUCT('1. Data Input'!$F$4:$F$23,'1. Data Input'!$F$4:$F$23))</f>
        <v/>
      </c>
      <c r="E12">
        <f>'1. Data Input'!G11/SQRT(SUMPRODUCT('1. Data Input'!$G$4:$G$23,'1. Data Input'!$G$4:$G$23))</f>
        <v/>
      </c>
    </row>
    <row r="13">
      <c r="A13" t="inlineStr">
        <is>
          <t>A9</t>
        </is>
      </c>
      <c r="B13">
        <f>'1. Data Input'!D12/SQRT(SUMPRODUCT('1. Data Input'!$D$4:$D$23,'1. Data Input'!$D$4:$D$23))</f>
        <v/>
      </c>
      <c r="C13">
        <f>'1. Data Input'!E12/SQRT(SUMPRODUCT('1. Data Input'!$E$4:$E$23,'1. Data Input'!$E$4:$E$23))</f>
        <v/>
      </c>
      <c r="D13">
        <f>'1. Data Input'!F12/SQRT(SUMPRODUCT('1. Data Input'!$F$4:$F$23,'1. Data Input'!$F$4:$F$23))</f>
        <v/>
      </c>
      <c r="E13">
        <f>'1. Data Input'!G12/SQRT(SUMPRODUCT('1. Data Input'!$G$4:$G$23,'1. Data Input'!$G$4:$G$23))</f>
        <v/>
      </c>
    </row>
    <row r="14">
      <c r="A14" t="inlineStr">
        <is>
          <t>A10</t>
        </is>
      </c>
      <c r="B14">
        <f>'1. Data Input'!D13/SQRT(SUMPRODUCT('1. Data Input'!$D$4:$D$23,'1. Data Input'!$D$4:$D$23))</f>
        <v/>
      </c>
      <c r="C14">
        <f>'1. Data Input'!E13/SQRT(SUMPRODUCT('1. Data Input'!$E$4:$E$23,'1. Data Input'!$E$4:$E$23))</f>
        <v/>
      </c>
      <c r="D14">
        <f>'1. Data Input'!F13/SQRT(SUMPRODUCT('1. Data Input'!$F$4:$F$23,'1. Data Input'!$F$4:$F$23))</f>
        <v/>
      </c>
      <c r="E14">
        <f>'1. Data Input'!G13/SQRT(SUMPRODUCT('1. Data Input'!$G$4:$G$23,'1. Data Input'!$G$4:$G$23))</f>
        <v/>
      </c>
    </row>
    <row r="15">
      <c r="A15" t="inlineStr">
        <is>
          <t>A11</t>
        </is>
      </c>
      <c r="B15">
        <f>'1. Data Input'!D14/SQRT(SUMPRODUCT('1. Data Input'!$D$4:$D$23,'1. Data Input'!$D$4:$D$23))</f>
        <v/>
      </c>
      <c r="C15">
        <f>'1. Data Input'!E14/SQRT(SUMPRODUCT('1. Data Input'!$E$4:$E$23,'1. Data Input'!$E$4:$E$23))</f>
        <v/>
      </c>
      <c r="D15">
        <f>'1. Data Input'!F14/SQRT(SUMPRODUCT('1. Data Input'!$F$4:$F$23,'1. Data Input'!$F$4:$F$23))</f>
        <v/>
      </c>
      <c r="E15">
        <f>'1. Data Input'!G14/SQRT(SUMPRODUCT('1. Data Input'!$G$4:$G$23,'1. Data Input'!$G$4:$G$23))</f>
        <v/>
      </c>
    </row>
    <row r="16">
      <c r="A16" t="inlineStr">
        <is>
          <t>A12</t>
        </is>
      </c>
      <c r="B16">
        <f>'1. Data Input'!D15/SQRT(SUMPRODUCT('1. Data Input'!$D$4:$D$23,'1. Data Input'!$D$4:$D$23))</f>
        <v/>
      </c>
      <c r="C16">
        <f>'1. Data Input'!E15/SQRT(SUMPRODUCT('1. Data Input'!$E$4:$E$23,'1. Data Input'!$E$4:$E$23))</f>
        <v/>
      </c>
      <c r="D16">
        <f>'1. Data Input'!F15/SQRT(SUMPRODUCT('1. Data Input'!$F$4:$F$23,'1. Data Input'!$F$4:$F$23))</f>
        <v/>
      </c>
      <c r="E16">
        <f>'1. Data Input'!G15/SQRT(SUMPRODUCT('1. Data Input'!$G$4:$G$23,'1. Data Input'!$G$4:$G$23))</f>
        <v/>
      </c>
    </row>
    <row r="17">
      <c r="A17" t="inlineStr">
        <is>
          <t>A13</t>
        </is>
      </c>
      <c r="B17">
        <f>'1. Data Input'!D16/SQRT(SUMPRODUCT('1. Data Input'!$D$4:$D$23,'1. Data Input'!$D$4:$D$23))</f>
        <v/>
      </c>
      <c r="C17">
        <f>'1. Data Input'!E16/SQRT(SUMPRODUCT('1. Data Input'!$E$4:$E$23,'1. Data Input'!$E$4:$E$23))</f>
        <v/>
      </c>
      <c r="D17">
        <f>'1. Data Input'!F16/SQRT(SUMPRODUCT('1. Data Input'!$F$4:$F$23,'1. Data Input'!$F$4:$F$23))</f>
        <v/>
      </c>
      <c r="E17">
        <f>'1. Data Input'!G16/SQRT(SUMPRODUCT('1. Data Input'!$G$4:$G$23,'1. Data Input'!$G$4:$G$23))</f>
        <v/>
      </c>
    </row>
    <row r="18">
      <c r="A18" t="inlineStr">
        <is>
          <t>A14</t>
        </is>
      </c>
      <c r="B18">
        <f>'1. Data Input'!D17/SQRT(SUMPRODUCT('1. Data Input'!$D$4:$D$23,'1. Data Input'!$D$4:$D$23))</f>
        <v/>
      </c>
      <c r="C18">
        <f>'1. Data Input'!E17/SQRT(SUMPRODUCT('1. Data Input'!$E$4:$E$23,'1. Data Input'!$E$4:$E$23))</f>
        <v/>
      </c>
      <c r="D18">
        <f>'1. Data Input'!F17/SQRT(SUMPRODUCT('1. Data Input'!$F$4:$F$23,'1. Data Input'!$F$4:$F$23))</f>
        <v/>
      </c>
      <c r="E18">
        <f>'1. Data Input'!G17/SQRT(SUMPRODUCT('1. Data Input'!$G$4:$G$23,'1. Data Input'!$G$4:$G$23))</f>
        <v/>
      </c>
    </row>
    <row r="19">
      <c r="A19" t="inlineStr">
        <is>
          <t>A15</t>
        </is>
      </c>
      <c r="B19">
        <f>'1. Data Input'!D18/SQRT(SUMPRODUCT('1. Data Input'!$D$4:$D$23,'1. Data Input'!$D$4:$D$23))</f>
        <v/>
      </c>
      <c r="C19">
        <f>'1. Data Input'!E18/SQRT(SUMPRODUCT('1. Data Input'!$E$4:$E$23,'1. Data Input'!$E$4:$E$23))</f>
        <v/>
      </c>
      <c r="D19">
        <f>'1. Data Input'!F18/SQRT(SUMPRODUCT('1. Data Input'!$F$4:$F$23,'1. Data Input'!$F$4:$F$23))</f>
        <v/>
      </c>
      <c r="E19">
        <f>'1. Data Input'!G18/SQRT(SUMPRODUCT('1. Data Input'!$G$4:$G$23,'1. Data Input'!$G$4:$G$23))</f>
        <v/>
      </c>
    </row>
    <row r="20">
      <c r="A20" t="inlineStr">
        <is>
          <t>A16</t>
        </is>
      </c>
      <c r="B20">
        <f>'1. Data Input'!D19/SQRT(SUMPRODUCT('1. Data Input'!$D$4:$D$23,'1. Data Input'!$D$4:$D$23))</f>
        <v/>
      </c>
      <c r="C20">
        <f>'1. Data Input'!E19/SQRT(SUMPRODUCT('1. Data Input'!$E$4:$E$23,'1. Data Input'!$E$4:$E$23))</f>
        <v/>
      </c>
      <c r="D20">
        <f>'1. Data Input'!F19/SQRT(SUMPRODUCT('1. Data Input'!$F$4:$F$23,'1. Data Input'!$F$4:$F$23))</f>
        <v/>
      </c>
      <c r="E20">
        <f>'1. Data Input'!G19/SQRT(SUMPRODUCT('1. Data Input'!$G$4:$G$23,'1. Data Input'!$G$4:$G$23))</f>
        <v/>
      </c>
    </row>
    <row r="21">
      <c r="A21" t="inlineStr">
        <is>
          <t>A17</t>
        </is>
      </c>
      <c r="B21">
        <f>'1. Data Input'!D20/SQRT(SUMPRODUCT('1. Data Input'!$D$4:$D$23,'1. Data Input'!$D$4:$D$23))</f>
        <v/>
      </c>
      <c r="C21">
        <f>'1. Data Input'!E20/SQRT(SUMPRODUCT('1. Data Input'!$E$4:$E$23,'1. Data Input'!$E$4:$E$23))</f>
        <v/>
      </c>
      <c r="D21">
        <f>'1. Data Input'!F20/SQRT(SUMPRODUCT('1. Data Input'!$F$4:$F$23,'1. Data Input'!$F$4:$F$23))</f>
        <v/>
      </c>
      <c r="E21">
        <f>'1. Data Input'!G20/SQRT(SUMPRODUCT('1. Data Input'!$G$4:$G$23,'1. Data Input'!$G$4:$G$23))</f>
        <v/>
      </c>
    </row>
    <row r="22">
      <c r="A22" t="inlineStr">
        <is>
          <t>A18</t>
        </is>
      </c>
      <c r="B22">
        <f>'1. Data Input'!D21/SQRT(SUMPRODUCT('1. Data Input'!$D$4:$D$23,'1. Data Input'!$D$4:$D$23))</f>
        <v/>
      </c>
      <c r="C22">
        <f>'1. Data Input'!E21/SQRT(SUMPRODUCT('1. Data Input'!$E$4:$E$23,'1. Data Input'!$E$4:$E$23))</f>
        <v/>
      </c>
      <c r="D22">
        <f>'1. Data Input'!F21/SQRT(SUMPRODUCT('1. Data Input'!$F$4:$F$23,'1. Data Input'!$F$4:$F$23))</f>
        <v/>
      </c>
      <c r="E22">
        <f>'1. Data Input'!G21/SQRT(SUMPRODUCT('1. Data Input'!$G$4:$G$23,'1. Data Input'!$G$4:$G$23))</f>
        <v/>
      </c>
    </row>
    <row r="23">
      <c r="A23" t="inlineStr">
        <is>
          <t>A19</t>
        </is>
      </c>
      <c r="B23">
        <f>'1. Data Input'!D22/SQRT(SUMPRODUCT('1. Data Input'!$D$4:$D$23,'1. Data Input'!$D$4:$D$23))</f>
        <v/>
      </c>
      <c r="C23">
        <f>'1. Data Input'!E22/SQRT(SUMPRODUCT('1. Data Input'!$E$4:$E$23,'1. Data Input'!$E$4:$E$23))</f>
        <v/>
      </c>
      <c r="D23">
        <f>'1. Data Input'!F22/SQRT(SUMPRODUCT('1. Data Input'!$F$4:$F$23,'1. Data Input'!$F$4:$F$23))</f>
        <v/>
      </c>
      <c r="E23">
        <f>'1. Data Input'!G22/SQRT(SUMPRODUCT('1. Data Input'!$G$4:$G$23,'1. Data Input'!$G$4:$G$23))</f>
        <v/>
      </c>
    </row>
    <row r="24">
      <c r="A24" t="inlineStr">
        <is>
          <t>A20</t>
        </is>
      </c>
      <c r="B24">
        <f>'1. Data Input'!D23/SQRT(SUMPRODUCT('1. Data Input'!$D$4:$D$23,'1. Data Input'!$D$4:$D$23))</f>
        <v/>
      </c>
      <c r="C24">
        <f>'1. Data Input'!E23/SQRT(SUMPRODUCT('1. Data Input'!$E$4:$E$23,'1. Data Input'!$E$4:$E$23))</f>
        <v/>
      </c>
      <c r="D24">
        <f>'1. Data Input'!F23/SQRT(SUMPRODUCT('1. Data Input'!$F$4:$F$23,'1. Data Input'!$F$4:$F$23))</f>
        <v/>
      </c>
      <c r="E24">
        <f>'1. Data Input'!G23/SQRT(SUMPRODUCT('1. Data Input'!$G$4:$G$23,'1. Data Input'!$G$4:$G$23))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MATRIKS TERNORMALISASI TERBOBOT (Y)</t>
        </is>
      </c>
    </row>
    <row r="2">
      <c r="A2" s="7" t="inlineStr">
        <is>
          <t>Rumus: yij = wj × rij</t>
        </is>
      </c>
    </row>
    <row r="3"/>
    <row r="4">
      <c r="A4" s="2" t="inlineStr">
        <is>
          <t>Alternatif</t>
        </is>
      </c>
      <c r="B4" s="2" t="inlineStr">
        <is>
          <t>CPU (C1)</t>
        </is>
      </c>
      <c r="C4" s="2" t="inlineStr">
        <is>
          <t>RAM (C2)</t>
        </is>
      </c>
      <c r="D4" s="2" t="inlineStr">
        <is>
          <t>Disk I/O (C3)</t>
        </is>
      </c>
      <c r="E4" s="2" t="inlineStr">
        <is>
          <t>Harga (C4)</t>
        </is>
      </c>
    </row>
    <row r="5">
      <c r="A5" t="inlineStr">
        <is>
          <t>A1</t>
        </is>
      </c>
      <c r="B5">
        <f>'3. Normalisasi'!B5*'2. Bobot &amp; Kriteria'!$B$5</f>
        <v/>
      </c>
      <c r="C5">
        <f>'3. Normalisasi'!C5*'2. Bobot &amp; Kriteria'!$C$5</f>
        <v/>
      </c>
      <c r="D5">
        <f>'3. Normalisasi'!D5*'2. Bobot &amp; Kriteria'!$D$5</f>
        <v/>
      </c>
      <c r="E5">
        <f>'3. Normalisasi'!E5*'2. Bobot &amp; Kriteria'!$E$5</f>
        <v/>
      </c>
    </row>
    <row r="6">
      <c r="A6" t="inlineStr">
        <is>
          <t>A2</t>
        </is>
      </c>
      <c r="B6">
        <f>'3. Normalisasi'!B6*'2. Bobot &amp; Kriteria'!$B$5</f>
        <v/>
      </c>
      <c r="C6">
        <f>'3. Normalisasi'!C6*'2. Bobot &amp; Kriteria'!$C$5</f>
        <v/>
      </c>
      <c r="D6">
        <f>'3. Normalisasi'!D6*'2. Bobot &amp; Kriteria'!$D$5</f>
        <v/>
      </c>
      <c r="E6">
        <f>'3. Normalisasi'!E6*'2. Bobot &amp; Kriteria'!$E$5</f>
        <v/>
      </c>
    </row>
    <row r="7">
      <c r="A7" t="inlineStr">
        <is>
          <t>A3</t>
        </is>
      </c>
      <c r="B7">
        <f>'3. Normalisasi'!B7*'2. Bobot &amp; Kriteria'!$B$5</f>
        <v/>
      </c>
      <c r="C7">
        <f>'3. Normalisasi'!C7*'2. Bobot &amp; Kriteria'!$C$5</f>
        <v/>
      </c>
      <c r="D7">
        <f>'3. Normalisasi'!D7*'2. Bobot &amp; Kriteria'!$D$5</f>
        <v/>
      </c>
      <c r="E7">
        <f>'3. Normalisasi'!E7*'2. Bobot &amp; Kriteria'!$E$5</f>
        <v/>
      </c>
    </row>
    <row r="8">
      <c r="A8" t="inlineStr">
        <is>
          <t>A4</t>
        </is>
      </c>
      <c r="B8">
        <f>'3. Normalisasi'!B8*'2. Bobot &amp; Kriteria'!$B$5</f>
        <v/>
      </c>
      <c r="C8">
        <f>'3. Normalisasi'!C8*'2. Bobot &amp; Kriteria'!$C$5</f>
        <v/>
      </c>
      <c r="D8">
        <f>'3. Normalisasi'!D8*'2. Bobot &amp; Kriteria'!$D$5</f>
        <v/>
      </c>
      <c r="E8">
        <f>'3. Normalisasi'!E8*'2. Bobot &amp; Kriteria'!$E$5</f>
        <v/>
      </c>
    </row>
    <row r="9">
      <c r="A9" t="inlineStr">
        <is>
          <t>A5</t>
        </is>
      </c>
      <c r="B9">
        <f>'3. Normalisasi'!B9*'2. Bobot &amp; Kriteria'!$B$5</f>
        <v/>
      </c>
      <c r="C9">
        <f>'3. Normalisasi'!C9*'2. Bobot &amp; Kriteria'!$C$5</f>
        <v/>
      </c>
      <c r="D9">
        <f>'3. Normalisasi'!D9*'2. Bobot &amp; Kriteria'!$D$5</f>
        <v/>
      </c>
      <c r="E9">
        <f>'3. Normalisasi'!E9*'2. Bobot &amp; Kriteria'!$E$5</f>
        <v/>
      </c>
    </row>
    <row r="10">
      <c r="A10" t="inlineStr">
        <is>
          <t>A6</t>
        </is>
      </c>
      <c r="B10">
        <f>'3. Normalisasi'!B10*'2. Bobot &amp; Kriteria'!$B$5</f>
        <v/>
      </c>
      <c r="C10">
        <f>'3. Normalisasi'!C10*'2. Bobot &amp; Kriteria'!$C$5</f>
        <v/>
      </c>
      <c r="D10">
        <f>'3. Normalisasi'!D10*'2. Bobot &amp; Kriteria'!$D$5</f>
        <v/>
      </c>
      <c r="E10">
        <f>'3. Normalisasi'!E10*'2. Bobot &amp; Kriteria'!$E$5</f>
        <v/>
      </c>
    </row>
    <row r="11">
      <c r="A11" t="inlineStr">
        <is>
          <t>A7</t>
        </is>
      </c>
      <c r="B11">
        <f>'3. Normalisasi'!B11*'2. Bobot &amp; Kriteria'!$B$5</f>
        <v/>
      </c>
      <c r="C11">
        <f>'3. Normalisasi'!C11*'2. Bobot &amp; Kriteria'!$C$5</f>
        <v/>
      </c>
      <c r="D11">
        <f>'3. Normalisasi'!D11*'2. Bobot &amp; Kriteria'!$D$5</f>
        <v/>
      </c>
      <c r="E11">
        <f>'3. Normalisasi'!E11*'2. Bobot &amp; Kriteria'!$E$5</f>
        <v/>
      </c>
    </row>
    <row r="12">
      <c r="A12" t="inlineStr">
        <is>
          <t>A8</t>
        </is>
      </c>
      <c r="B12">
        <f>'3. Normalisasi'!B12*'2. Bobot &amp; Kriteria'!$B$5</f>
        <v/>
      </c>
      <c r="C12">
        <f>'3. Normalisasi'!C12*'2. Bobot &amp; Kriteria'!$C$5</f>
        <v/>
      </c>
      <c r="D12">
        <f>'3. Normalisasi'!D12*'2. Bobot &amp; Kriteria'!$D$5</f>
        <v/>
      </c>
      <c r="E12">
        <f>'3. Normalisasi'!E12*'2. Bobot &amp; Kriteria'!$E$5</f>
        <v/>
      </c>
    </row>
    <row r="13">
      <c r="A13" t="inlineStr">
        <is>
          <t>A9</t>
        </is>
      </c>
      <c r="B13">
        <f>'3. Normalisasi'!B13*'2. Bobot &amp; Kriteria'!$B$5</f>
        <v/>
      </c>
      <c r="C13">
        <f>'3. Normalisasi'!C13*'2. Bobot &amp; Kriteria'!$C$5</f>
        <v/>
      </c>
      <c r="D13">
        <f>'3. Normalisasi'!D13*'2. Bobot &amp; Kriteria'!$D$5</f>
        <v/>
      </c>
      <c r="E13">
        <f>'3. Normalisasi'!E13*'2. Bobot &amp; Kriteria'!$E$5</f>
        <v/>
      </c>
    </row>
    <row r="14">
      <c r="A14" t="inlineStr">
        <is>
          <t>A10</t>
        </is>
      </c>
      <c r="B14">
        <f>'3. Normalisasi'!B14*'2. Bobot &amp; Kriteria'!$B$5</f>
        <v/>
      </c>
      <c r="C14">
        <f>'3. Normalisasi'!C14*'2. Bobot &amp; Kriteria'!$C$5</f>
        <v/>
      </c>
      <c r="D14">
        <f>'3. Normalisasi'!D14*'2. Bobot &amp; Kriteria'!$D$5</f>
        <v/>
      </c>
      <c r="E14">
        <f>'3. Normalisasi'!E14*'2. Bobot &amp; Kriteria'!$E$5</f>
        <v/>
      </c>
    </row>
    <row r="15">
      <c r="A15" t="inlineStr">
        <is>
          <t>A11</t>
        </is>
      </c>
      <c r="B15">
        <f>'3. Normalisasi'!B15*'2. Bobot &amp; Kriteria'!$B$5</f>
        <v/>
      </c>
      <c r="C15">
        <f>'3. Normalisasi'!C15*'2. Bobot &amp; Kriteria'!$C$5</f>
        <v/>
      </c>
      <c r="D15">
        <f>'3. Normalisasi'!D15*'2. Bobot &amp; Kriteria'!$D$5</f>
        <v/>
      </c>
      <c r="E15">
        <f>'3. Normalisasi'!E15*'2. Bobot &amp; Kriteria'!$E$5</f>
        <v/>
      </c>
    </row>
    <row r="16">
      <c r="A16" t="inlineStr">
        <is>
          <t>A12</t>
        </is>
      </c>
      <c r="B16">
        <f>'3. Normalisasi'!B16*'2. Bobot &amp; Kriteria'!$B$5</f>
        <v/>
      </c>
      <c r="C16">
        <f>'3. Normalisasi'!C16*'2. Bobot &amp; Kriteria'!$C$5</f>
        <v/>
      </c>
      <c r="D16">
        <f>'3. Normalisasi'!D16*'2. Bobot &amp; Kriteria'!$D$5</f>
        <v/>
      </c>
      <c r="E16">
        <f>'3. Normalisasi'!E16*'2. Bobot &amp; Kriteria'!$E$5</f>
        <v/>
      </c>
    </row>
    <row r="17">
      <c r="A17" t="inlineStr">
        <is>
          <t>A13</t>
        </is>
      </c>
      <c r="B17">
        <f>'3. Normalisasi'!B17*'2. Bobot &amp; Kriteria'!$B$5</f>
        <v/>
      </c>
      <c r="C17">
        <f>'3. Normalisasi'!C17*'2. Bobot &amp; Kriteria'!$C$5</f>
        <v/>
      </c>
      <c r="D17">
        <f>'3. Normalisasi'!D17*'2. Bobot &amp; Kriteria'!$D$5</f>
        <v/>
      </c>
      <c r="E17">
        <f>'3. Normalisasi'!E17*'2. Bobot &amp; Kriteria'!$E$5</f>
        <v/>
      </c>
    </row>
    <row r="18">
      <c r="A18" t="inlineStr">
        <is>
          <t>A14</t>
        </is>
      </c>
      <c r="B18">
        <f>'3. Normalisasi'!B18*'2. Bobot &amp; Kriteria'!$B$5</f>
        <v/>
      </c>
      <c r="C18">
        <f>'3. Normalisasi'!C18*'2. Bobot &amp; Kriteria'!$C$5</f>
        <v/>
      </c>
      <c r="D18">
        <f>'3. Normalisasi'!D18*'2. Bobot &amp; Kriteria'!$D$5</f>
        <v/>
      </c>
      <c r="E18">
        <f>'3. Normalisasi'!E18*'2. Bobot &amp; Kriteria'!$E$5</f>
        <v/>
      </c>
    </row>
    <row r="19">
      <c r="A19" t="inlineStr">
        <is>
          <t>A15</t>
        </is>
      </c>
      <c r="B19">
        <f>'3. Normalisasi'!B19*'2. Bobot &amp; Kriteria'!$B$5</f>
        <v/>
      </c>
      <c r="C19">
        <f>'3. Normalisasi'!C19*'2. Bobot &amp; Kriteria'!$C$5</f>
        <v/>
      </c>
      <c r="D19">
        <f>'3. Normalisasi'!D19*'2. Bobot &amp; Kriteria'!$D$5</f>
        <v/>
      </c>
      <c r="E19">
        <f>'3. Normalisasi'!E19*'2. Bobot &amp; Kriteria'!$E$5</f>
        <v/>
      </c>
    </row>
    <row r="20">
      <c r="A20" t="inlineStr">
        <is>
          <t>A16</t>
        </is>
      </c>
      <c r="B20">
        <f>'3. Normalisasi'!B20*'2. Bobot &amp; Kriteria'!$B$5</f>
        <v/>
      </c>
      <c r="C20">
        <f>'3. Normalisasi'!C20*'2. Bobot &amp; Kriteria'!$C$5</f>
        <v/>
      </c>
      <c r="D20">
        <f>'3. Normalisasi'!D20*'2. Bobot &amp; Kriteria'!$D$5</f>
        <v/>
      </c>
      <c r="E20">
        <f>'3. Normalisasi'!E20*'2. Bobot &amp; Kriteria'!$E$5</f>
        <v/>
      </c>
    </row>
    <row r="21">
      <c r="A21" t="inlineStr">
        <is>
          <t>A17</t>
        </is>
      </c>
      <c r="B21">
        <f>'3. Normalisasi'!B21*'2. Bobot &amp; Kriteria'!$B$5</f>
        <v/>
      </c>
      <c r="C21">
        <f>'3. Normalisasi'!C21*'2. Bobot &amp; Kriteria'!$C$5</f>
        <v/>
      </c>
      <c r="D21">
        <f>'3. Normalisasi'!D21*'2. Bobot &amp; Kriteria'!$D$5</f>
        <v/>
      </c>
      <c r="E21">
        <f>'3. Normalisasi'!E21*'2. Bobot &amp; Kriteria'!$E$5</f>
        <v/>
      </c>
    </row>
    <row r="22">
      <c r="A22" t="inlineStr">
        <is>
          <t>A18</t>
        </is>
      </c>
      <c r="B22">
        <f>'3. Normalisasi'!B22*'2. Bobot &amp; Kriteria'!$B$5</f>
        <v/>
      </c>
      <c r="C22">
        <f>'3. Normalisasi'!C22*'2. Bobot &amp; Kriteria'!$C$5</f>
        <v/>
      </c>
      <c r="D22">
        <f>'3. Normalisasi'!D22*'2. Bobot &amp; Kriteria'!$D$5</f>
        <v/>
      </c>
      <c r="E22">
        <f>'3. Normalisasi'!E22*'2. Bobot &amp; Kriteria'!$E$5</f>
        <v/>
      </c>
    </row>
    <row r="23">
      <c r="A23" t="inlineStr">
        <is>
          <t>A19</t>
        </is>
      </c>
      <c r="B23">
        <f>'3. Normalisasi'!B23*'2. Bobot &amp; Kriteria'!$B$5</f>
        <v/>
      </c>
      <c r="C23">
        <f>'3. Normalisasi'!C23*'2. Bobot &amp; Kriteria'!$C$5</f>
        <v/>
      </c>
      <c r="D23">
        <f>'3. Normalisasi'!D23*'2. Bobot &amp; Kriteria'!$D$5</f>
        <v/>
      </c>
      <c r="E23">
        <f>'3. Normalisasi'!E23*'2. Bobot &amp; Kriteria'!$E$5</f>
        <v/>
      </c>
    </row>
    <row r="24">
      <c r="A24" t="inlineStr">
        <is>
          <t>A20</t>
        </is>
      </c>
      <c r="B24">
        <f>'3. Normalisasi'!B24*'2. Bobot &amp; Kriteria'!$B$5</f>
        <v/>
      </c>
      <c r="C24">
        <f>'3. Normalisasi'!C24*'2. Bobot &amp; Kriteria'!$C$5</f>
        <v/>
      </c>
      <c r="D24">
        <f>'3. Normalisasi'!D24*'2. Bobot &amp; Kriteria'!$D$5</f>
        <v/>
      </c>
      <c r="E24">
        <f>'3. Normalisasi'!E24*'2. Bobot &amp; Kriteria'!$E$5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SOLUSI IDEAL POSITIF (A+) DAN NEGATIF (A-)</t>
        </is>
      </c>
    </row>
    <row r="2"/>
    <row r="3">
      <c r="A3" s="2" t="inlineStr">
        <is>
          <t>Kriteria</t>
        </is>
      </c>
      <c r="B3" s="2" t="inlineStr">
        <is>
          <t>CPU (C1)</t>
        </is>
      </c>
      <c r="C3" s="2" t="inlineStr">
        <is>
          <t>RAM (C2)</t>
        </is>
      </c>
      <c r="D3" s="2" t="inlineStr">
        <is>
          <t>Disk I/O (C3)</t>
        </is>
      </c>
      <c r="E3" s="2" t="inlineStr">
        <is>
          <t>Harga (C4)</t>
        </is>
      </c>
    </row>
    <row r="4">
      <c r="A4" t="inlineStr">
        <is>
          <t>A+ (Ideal Positif)</t>
        </is>
      </c>
      <c r="B4">
        <f>MAX('4. Normalisasi Terbobot'!B5:B24)</f>
        <v/>
      </c>
      <c r="C4">
        <f>MAX('4. Normalisasi Terbobot'!C5:C24)</f>
        <v/>
      </c>
      <c r="D4">
        <f>MAX('4. Normalisasi Terbobot'!D5:D24)</f>
        <v/>
      </c>
      <c r="E4">
        <f>MIN('4. Normalisasi Terbobot'!E5:E24)</f>
        <v/>
      </c>
    </row>
    <row r="5">
      <c r="A5" t="inlineStr">
        <is>
          <t>A- (Ideal Negatif)</t>
        </is>
      </c>
      <c r="B5">
        <f>MIN('4. Normalisasi Terbobot'!B5:B24)</f>
        <v/>
      </c>
      <c r="C5">
        <f>MIN('4. Normalisasi Terbobot'!C5:C24)</f>
        <v/>
      </c>
      <c r="D5">
        <f>MIN('4. Normalisasi Terbobot'!D5:D24)</f>
        <v/>
      </c>
      <c r="E5">
        <f>MAX('4. Normalisasi Terbobot'!E5:E24)</f>
        <v/>
      </c>
    </row>
    <row r="6"/>
    <row r="7">
      <c r="A7" t="inlineStr">
        <is>
          <t>Keterangan:</t>
        </is>
      </c>
    </row>
    <row r="8">
      <c r="A8" t="inlineStr">
        <is>
          <t>• BENEFIT: A+ = MAX, A- = MIN</t>
        </is>
      </c>
    </row>
    <row r="9">
      <c r="A9" t="inlineStr">
        <is>
          <t>• COST: A+ = MIN, A- = 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50" customWidth="1" min="4" max="4"/>
    <col width="16" customWidth="1" min="5" max="5"/>
    <col width="25" customWidth="1" min="6" max="6"/>
  </cols>
  <sheetData>
    <row r="1">
      <c r="A1" s="1" t="inlineStr">
        <is>
          <t>HASIL PERHITUNGAN TOPSIS</t>
        </is>
      </c>
    </row>
    <row r="2"/>
    <row r="3">
      <c r="A3" s="2" t="inlineStr">
        <is>
          <t>Alternatif</t>
        </is>
      </c>
      <c r="B3" s="2" t="inlineStr">
        <is>
          <t>Vendor</t>
        </is>
      </c>
      <c r="C3" s="2" t="inlineStr">
        <is>
          <t>D+ (Jarak ke A+)</t>
        </is>
      </c>
      <c r="D3" s="2" t="inlineStr">
        <is>
          <t>D- (Jarak ke A-)</t>
        </is>
      </c>
      <c r="E3" s="2" t="inlineStr">
        <is>
          <t>Score</t>
        </is>
      </c>
      <c r="F3" s="2" t="inlineStr">
        <is>
          <t>Rank</t>
        </is>
      </c>
    </row>
    <row r="4">
      <c r="A4" t="inlineStr">
        <is>
          <t>A1</t>
        </is>
      </c>
      <c r="B4">
        <f>'1. Data Input'!B4</f>
        <v/>
      </c>
      <c r="C4">
        <f>SQRT(SUMPRODUCT(('4. Normalisasi Terbobot'!B5:E5-'5. Solusi Ideal'!$B$4:$E$4)^2))</f>
        <v/>
      </c>
      <c r="D4">
        <f>SQRT(SUMPRODUCT(('4. Normalisasi Terbobot'!B5:E5-'5. Solusi Ideal'!$B$5:$E$5)^2))</f>
        <v/>
      </c>
      <c r="E4">
        <f>D4/(C4+D4)</f>
        <v/>
      </c>
      <c r="F4">
        <f>RANK(E4,$E$4:$E$23,0)</f>
        <v/>
      </c>
    </row>
    <row r="5">
      <c r="A5" t="inlineStr">
        <is>
          <t>A2</t>
        </is>
      </c>
      <c r="B5">
        <f>'1. Data Input'!B5</f>
        <v/>
      </c>
      <c r="C5">
        <f>SQRT(SUMPRODUCT(('4. Normalisasi Terbobot'!B6:E6-'5. Solusi Ideal'!$B$4:$E$4)^2))</f>
        <v/>
      </c>
      <c r="D5">
        <f>SQRT(SUMPRODUCT(('4. Normalisasi Terbobot'!B6:E6-'5. Solusi Ideal'!$B$5:$E$5)^2))</f>
        <v/>
      </c>
      <c r="E5">
        <f>D5/(C5+D5)</f>
        <v/>
      </c>
      <c r="F5">
        <f>RANK(E5,$E$4:$E$23,0)</f>
        <v/>
      </c>
    </row>
    <row r="6">
      <c r="A6" t="inlineStr">
        <is>
          <t>A3</t>
        </is>
      </c>
      <c r="B6">
        <f>'1. Data Input'!B6</f>
        <v/>
      </c>
      <c r="C6">
        <f>SQRT(SUMPRODUCT(('4. Normalisasi Terbobot'!B7:E7-'5. Solusi Ideal'!$B$4:$E$4)^2))</f>
        <v/>
      </c>
      <c r="D6">
        <f>SQRT(SUMPRODUCT(('4. Normalisasi Terbobot'!B7:E7-'5. Solusi Ideal'!$B$5:$E$5)^2))</f>
        <v/>
      </c>
      <c r="E6">
        <f>D6/(C6+D6)</f>
        <v/>
      </c>
      <c r="F6">
        <f>RANK(E6,$E$4:$E$23,0)</f>
        <v/>
      </c>
    </row>
    <row r="7">
      <c r="A7" t="inlineStr">
        <is>
          <t>A4</t>
        </is>
      </c>
      <c r="B7">
        <f>'1. Data Input'!B7</f>
        <v/>
      </c>
      <c r="C7">
        <f>SQRT(SUMPRODUCT(('4. Normalisasi Terbobot'!B8:E8-'5. Solusi Ideal'!$B$4:$E$4)^2))</f>
        <v/>
      </c>
      <c r="D7">
        <f>SQRT(SUMPRODUCT(('4. Normalisasi Terbobot'!B8:E8-'5. Solusi Ideal'!$B$5:$E$5)^2))</f>
        <v/>
      </c>
      <c r="E7">
        <f>D7/(C7+D7)</f>
        <v/>
      </c>
      <c r="F7">
        <f>RANK(E7,$E$4:$E$23,0)</f>
        <v/>
      </c>
    </row>
    <row r="8">
      <c r="A8" t="inlineStr">
        <is>
          <t>A5</t>
        </is>
      </c>
      <c r="B8">
        <f>'1. Data Input'!B8</f>
        <v/>
      </c>
      <c r="C8">
        <f>SQRT(SUMPRODUCT(('4. Normalisasi Terbobot'!B9:E9-'5. Solusi Ideal'!$B$4:$E$4)^2))</f>
        <v/>
      </c>
      <c r="D8">
        <f>SQRT(SUMPRODUCT(('4. Normalisasi Terbobot'!B9:E9-'5. Solusi Ideal'!$B$5:$E$5)^2))</f>
        <v/>
      </c>
      <c r="E8">
        <f>D8/(C8+D8)</f>
        <v/>
      </c>
      <c r="F8">
        <f>RANK(E8,$E$4:$E$23,0)</f>
        <v/>
      </c>
    </row>
    <row r="9">
      <c r="A9" t="inlineStr">
        <is>
          <t>A6</t>
        </is>
      </c>
      <c r="B9">
        <f>'1. Data Input'!B9</f>
        <v/>
      </c>
      <c r="C9">
        <f>SQRT(SUMPRODUCT(('4. Normalisasi Terbobot'!B10:E10-'5. Solusi Ideal'!$B$4:$E$4)^2))</f>
        <v/>
      </c>
      <c r="D9">
        <f>SQRT(SUMPRODUCT(('4. Normalisasi Terbobot'!B10:E10-'5. Solusi Ideal'!$B$5:$E$5)^2))</f>
        <v/>
      </c>
      <c r="E9">
        <f>D9/(C9+D9)</f>
        <v/>
      </c>
      <c r="F9">
        <f>RANK(E9,$E$4:$E$23,0)</f>
        <v/>
      </c>
    </row>
    <row r="10">
      <c r="A10" t="inlineStr">
        <is>
          <t>A7</t>
        </is>
      </c>
      <c r="B10">
        <f>'1. Data Input'!B10</f>
        <v/>
      </c>
      <c r="C10">
        <f>SQRT(SUMPRODUCT(('4. Normalisasi Terbobot'!B11:E11-'5. Solusi Ideal'!$B$4:$E$4)^2))</f>
        <v/>
      </c>
      <c r="D10">
        <f>SQRT(SUMPRODUCT(('4. Normalisasi Terbobot'!B11:E11-'5. Solusi Ideal'!$B$5:$E$5)^2))</f>
        <v/>
      </c>
      <c r="E10">
        <f>D10/(C10+D10)</f>
        <v/>
      </c>
      <c r="F10">
        <f>RANK(E10,$E$4:$E$23,0)</f>
        <v/>
      </c>
    </row>
    <row r="11">
      <c r="A11" t="inlineStr">
        <is>
          <t>A8</t>
        </is>
      </c>
      <c r="B11">
        <f>'1. Data Input'!B11</f>
        <v/>
      </c>
      <c r="C11">
        <f>SQRT(SUMPRODUCT(('4. Normalisasi Terbobot'!B12:E12-'5. Solusi Ideal'!$B$4:$E$4)^2))</f>
        <v/>
      </c>
      <c r="D11">
        <f>SQRT(SUMPRODUCT(('4. Normalisasi Terbobot'!B12:E12-'5. Solusi Ideal'!$B$5:$E$5)^2))</f>
        <v/>
      </c>
      <c r="E11">
        <f>D11/(C11+D11)</f>
        <v/>
      </c>
      <c r="F11">
        <f>RANK(E11,$E$4:$E$23,0)</f>
        <v/>
      </c>
    </row>
    <row r="12">
      <c r="A12" t="inlineStr">
        <is>
          <t>A9</t>
        </is>
      </c>
      <c r="B12">
        <f>'1. Data Input'!B12</f>
        <v/>
      </c>
      <c r="C12">
        <f>SQRT(SUMPRODUCT(('4. Normalisasi Terbobot'!B13:E13-'5. Solusi Ideal'!$B$4:$E$4)^2))</f>
        <v/>
      </c>
      <c r="D12">
        <f>SQRT(SUMPRODUCT(('4. Normalisasi Terbobot'!B13:E13-'5. Solusi Ideal'!$B$5:$E$5)^2))</f>
        <v/>
      </c>
      <c r="E12">
        <f>D12/(C12+D12)</f>
        <v/>
      </c>
      <c r="F12">
        <f>RANK(E12,$E$4:$E$23,0)</f>
        <v/>
      </c>
    </row>
    <row r="13">
      <c r="A13" t="inlineStr">
        <is>
          <t>A10</t>
        </is>
      </c>
      <c r="B13">
        <f>'1. Data Input'!B13</f>
        <v/>
      </c>
      <c r="C13">
        <f>SQRT(SUMPRODUCT(('4. Normalisasi Terbobot'!B14:E14-'5. Solusi Ideal'!$B$4:$E$4)^2))</f>
        <v/>
      </c>
      <c r="D13">
        <f>SQRT(SUMPRODUCT(('4. Normalisasi Terbobot'!B14:E14-'5. Solusi Ideal'!$B$5:$E$5)^2))</f>
        <v/>
      </c>
      <c r="E13">
        <f>D13/(C13+D13)</f>
        <v/>
      </c>
      <c r="F13">
        <f>RANK(E13,$E$4:$E$23,0)</f>
        <v/>
      </c>
    </row>
    <row r="14">
      <c r="A14" t="inlineStr">
        <is>
          <t>A11</t>
        </is>
      </c>
      <c r="B14">
        <f>'1. Data Input'!B14</f>
        <v/>
      </c>
      <c r="C14">
        <f>SQRT(SUMPRODUCT(('4. Normalisasi Terbobot'!B15:E15-'5. Solusi Ideal'!$B$4:$E$4)^2))</f>
        <v/>
      </c>
      <c r="D14">
        <f>SQRT(SUMPRODUCT(('4. Normalisasi Terbobot'!B15:E15-'5. Solusi Ideal'!$B$5:$E$5)^2))</f>
        <v/>
      </c>
      <c r="E14">
        <f>D14/(C14+D14)</f>
        <v/>
      </c>
      <c r="F14">
        <f>RANK(E14,$E$4:$E$23,0)</f>
        <v/>
      </c>
    </row>
    <row r="15">
      <c r="A15" t="inlineStr">
        <is>
          <t>A12</t>
        </is>
      </c>
      <c r="B15">
        <f>'1. Data Input'!B15</f>
        <v/>
      </c>
      <c r="C15">
        <f>SQRT(SUMPRODUCT(('4. Normalisasi Terbobot'!B16:E16-'5. Solusi Ideal'!$B$4:$E$4)^2))</f>
        <v/>
      </c>
      <c r="D15">
        <f>SQRT(SUMPRODUCT(('4. Normalisasi Terbobot'!B16:E16-'5. Solusi Ideal'!$B$5:$E$5)^2))</f>
        <v/>
      </c>
      <c r="E15">
        <f>D15/(C15+D15)</f>
        <v/>
      </c>
      <c r="F15">
        <f>RANK(E15,$E$4:$E$23,0)</f>
        <v/>
      </c>
    </row>
    <row r="16">
      <c r="A16" t="inlineStr">
        <is>
          <t>A13</t>
        </is>
      </c>
      <c r="B16">
        <f>'1. Data Input'!B16</f>
        <v/>
      </c>
      <c r="C16">
        <f>SQRT(SUMPRODUCT(('4. Normalisasi Terbobot'!B17:E17-'5. Solusi Ideal'!$B$4:$E$4)^2))</f>
        <v/>
      </c>
      <c r="D16">
        <f>SQRT(SUMPRODUCT(('4. Normalisasi Terbobot'!B17:E17-'5. Solusi Ideal'!$B$5:$E$5)^2))</f>
        <v/>
      </c>
      <c r="E16">
        <f>D16/(C16+D16)</f>
        <v/>
      </c>
      <c r="F16">
        <f>RANK(E16,$E$4:$E$23,0)</f>
        <v/>
      </c>
    </row>
    <row r="17">
      <c r="A17" t="inlineStr">
        <is>
          <t>A14</t>
        </is>
      </c>
      <c r="B17">
        <f>'1. Data Input'!B17</f>
        <v/>
      </c>
      <c r="C17">
        <f>SQRT(SUMPRODUCT(('4. Normalisasi Terbobot'!B18:E18-'5. Solusi Ideal'!$B$4:$E$4)^2))</f>
        <v/>
      </c>
      <c r="D17">
        <f>SQRT(SUMPRODUCT(('4. Normalisasi Terbobot'!B18:E18-'5. Solusi Ideal'!$B$5:$E$5)^2))</f>
        <v/>
      </c>
      <c r="E17">
        <f>D17/(C17+D17)</f>
        <v/>
      </c>
      <c r="F17">
        <f>RANK(E17,$E$4:$E$23,0)</f>
        <v/>
      </c>
    </row>
    <row r="18">
      <c r="A18" t="inlineStr">
        <is>
          <t>A15</t>
        </is>
      </c>
      <c r="B18">
        <f>'1. Data Input'!B18</f>
        <v/>
      </c>
      <c r="C18">
        <f>SQRT(SUMPRODUCT(('4. Normalisasi Terbobot'!B19:E19-'5. Solusi Ideal'!$B$4:$E$4)^2))</f>
        <v/>
      </c>
      <c r="D18">
        <f>SQRT(SUMPRODUCT(('4. Normalisasi Terbobot'!B19:E19-'5. Solusi Ideal'!$B$5:$E$5)^2))</f>
        <v/>
      </c>
      <c r="E18">
        <f>D18/(C18+D18)</f>
        <v/>
      </c>
      <c r="F18">
        <f>RANK(E18,$E$4:$E$23,0)</f>
        <v/>
      </c>
    </row>
    <row r="19">
      <c r="A19" t="inlineStr">
        <is>
          <t>A16</t>
        </is>
      </c>
      <c r="B19">
        <f>'1. Data Input'!B19</f>
        <v/>
      </c>
      <c r="C19">
        <f>SQRT(SUMPRODUCT(('4. Normalisasi Terbobot'!B20:E20-'5. Solusi Ideal'!$B$4:$E$4)^2))</f>
        <v/>
      </c>
      <c r="D19">
        <f>SQRT(SUMPRODUCT(('4. Normalisasi Terbobot'!B20:E20-'5. Solusi Ideal'!$B$5:$E$5)^2))</f>
        <v/>
      </c>
      <c r="E19">
        <f>D19/(C19+D19)</f>
        <v/>
      </c>
      <c r="F19">
        <f>RANK(E19,$E$4:$E$23,0)</f>
        <v/>
      </c>
    </row>
    <row r="20">
      <c r="A20" t="inlineStr">
        <is>
          <t>A17</t>
        </is>
      </c>
      <c r="B20">
        <f>'1. Data Input'!B20</f>
        <v/>
      </c>
      <c r="C20">
        <f>SQRT(SUMPRODUCT(('4. Normalisasi Terbobot'!B21:E21-'5. Solusi Ideal'!$B$4:$E$4)^2))</f>
        <v/>
      </c>
      <c r="D20">
        <f>SQRT(SUMPRODUCT(('4. Normalisasi Terbobot'!B21:E21-'5. Solusi Ideal'!$B$5:$E$5)^2))</f>
        <v/>
      </c>
      <c r="E20">
        <f>D20/(C20+D20)</f>
        <v/>
      </c>
      <c r="F20">
        <f>RANK(E20,$E$4:$E$23,0)</f>
        <v/>
      </c>
    </row>
    <row r="21">
      <c r="A21" t="inlineStr">
        <is>
          <t>A18</t>
        </is>
      </c>
      <c r="B21">
        <f>'1. Data Input'!B21</f>
        <v/>
      </c>
      <c r="C21">
        <f>SQRT(SUMPRODUCT(('4. Normalisasi Terbobot'!B22:E22-'5. Solusi Ideal'!$B$4:$E$4)^2))</f>
        <v/>
      </c>
      <c r="D21">
        <f>SQRT(SUMPRODUCT(('4. Normalisasi Terbobot'!B22:E22-'5. Solusi Ideal'!$B$5:$E$5)^2))</f>
        <v/>
      </c>
      <c r="E21">
        <f>D21/(C21+D21)</f>
        <v/>
      </c>
      <c r="F21">
        <f>RANK(E21,$E$4:$E$23,0)</f>
        <v/>
      </c>
    </row>
    <row r="22">
      <c r="A22" t="inlineStr">
        <is>
          <t>A19</t>
        </is>
      </c>
      <c r="B22">
        <f>'1. Data Input'!B22</f>
        <v/>
      </c>
      <c r="C22">
        <f>SQRT(SUMPRODUCT(('4. Normalisasi Terbobot'!B23:E23-'5. Solusi Ideal'!$B$4:$E$4)^2))</f>
        <v/>
      </c>
      <c r="D22">
        <f>SQRT(SUMPRODUCT(('4. Normalisasi Terbobot'!B23:E23-'5. Solusi Ideal'!$B$5:$E$5)^2))</f>
        <v/>
      </c>
      <c r="E22">
        <f>D22/(C22+D22)</f>
        <v/>
      </c>
      <c r="F22">
        <f>RANK(E22,$E$4:$E$23,0)</f>
        <v/>
      </c>
    </row>
    <row r="23">
      <c r="A23" t="inlineStr">
        <is>
          <t>A20</t>
        </is>
      </c>
      <c r="B23">
        <f>'1. Data Input'!B23</f>
        <v/>
      </c>
      <c r="C23">
        <f>SQRT(SUMPRODUCT(('4. Normalisasi Terbobot'!B24:E24-'5. Solusi Ideal'!$B$4:$E$4)^2))</f>
        <v/>
      </c>
      <c r="D23">
        <f>SQRT(SUMPRODUCT(('4. Normalisasi Terbobot'!B24:E24-'5. Solusi Ideal'!$B$5:$E$5)^2))</f>
        <v/>
      </c>
      <c r="E23">
        <f>D23/(C23+D23)</f>
        <v/>
      </c>
      <c r="F23">
        <f>RANK(E23,$E$4:$E$23,0)</f>
        <v/>
      </c>
    </row>
    <row r="24"/>
    <row r="25"/>
    <row r="26">
      <c r="A26" t="inlineStr">
        <is>
          <t>Rumus Score TOPSIS:</t>
        </is>
      </c>
    </row>
    <row r="27">
      <c r="A27" t="inlineStr">
        <is>
          <t>Score = D- / (D+ + D-)</t>
        </is>
      </c>
    </row>
    <row r="28">
      <c r="A28" t="inlineStr">
        <is>
          <t>Semakin tinggi score (mendekati 1), semakin baik alternatif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2025-12-09T15:48:19+00:00Z</dcterms:created>
  <dcterms:modified xmlns:dcterms="http://purl.org/dc/terms/" xmlns:xsi="http://www.w3.org/2001/XMLSchema-instance" xsi:type="dcterms:W3CDTF">2025-12-09T15:48:19+00:00Z</dcterms:modified>
</cp:coreProperties>
</file>