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0. Panduan Level" sheetId="1" state="visible" r:id="rId1"/>
    <sheet name="1. Input Level" sheetId="2" state="visible" r:id="rId2"/>
    <sheet name="2. Konversi ke Nilai" sheetId="3" state="visible" r:id="rId3"/>
    <sheet name="3. Bobot &amp; Kriteria" sheetId="4" state="visible" r:id="rId4"/>
    <sheet name="4. Normalisasi" sheetId="5" state="visible" r:id="rId5"/>
    <sheet name="5. Normalisasi Terbobot" sheetId="6" state="visible" r:id="rId6"/>
    <sheet name="6. Solusi Ideal" sheetId="7" state="visible" r:id="rId7"/>
    <sheet name="7. Hasil TOP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1" customWidth="1" style="10" min="1" max="1"/>
    <col width="10" customWidth="1" style="10" min="2" max="2"/>
    <col width="15" customWidth="1" style="10" min="3" max="3"/>
    <col width="2" customWidth="1" style="10" min="4" max="4"/>
    <col width="20" customWidth="1" style="10" min="5" max="5"/>
    <col width="14" customWidth="1" style="10" min="6" max="6"/>
    <col width="15" customWidth="1" style="10" min="7" max="7"/>
  </cols>
  <sheetData>
    <row r="1" ht="19.7" customHeight="1" s="11">
      <c r="A1" s="12" t="inlineStr">
        <is>
          <t>PANDUAN LEVEL PARAMETER (1-5)</t>
        </is>
      </c>
    </row>
    <row r="3" ht="15" customHeight="1" s="11">
      <c r="A3" s="13" t="inlineStr">
        <is>
          <t>CPU (BENEFIT)</t>
        </is>
      </c>
      <c r="E3" s="13" t="inlineStr">
        <is>
          <t>Disk I/O (BENEFIT)</t>
        </is>
      </c>
    </row>
    <row r="4" ht="15" customHeight="1" s="11">
      <c r="A4" s="14" t="inlineStr">
        <is>
          <t>Level</t>
        </is>
      </c>
      <c r="B4" s="14" t="inlineStr">
        <is>
          <t>Range</t>
        </is>
      </c>
      <c r="C4" s="14" t="inlineStr">
        <is>
          <t>Kategori</t>
        </is>
      </c>
      <c r="E4" s="14" t="inlineStr">
        <is>
          <t>Level</t>
        </is>
      </c>
      <c r="F4" s="14" t="inlineStr">
        <is>
          <t>Range</t>
        </is>
      </c>
      <c r="G4" s="14" t="inlineStr">
        <is>
          <t>Kategori</t>
        </is>
      </c>
    </row>
    <row r="5" ht="15" customHeight="1" s="11">
      <c r="A5" s="10" t="n">
        <v>1</v>
      </c>
      <c r="B5" s="10" t="inlineStr">
        <is>
          <t>1-2 Core</t>
        </is>
      </c>
      <c r="C5" s="10" t="inlineStr">
        <is>
          <t>Sangat Rendah</t>
        </is>
      </c>
      <c r="E5" s="10" t="n">
        <v>1</v>
      </c>
      <c r="F5" s="10" t="inlineStr">
        <is>
          <t>100-200 MB/s</t>
        </is>
      </c>
      <c r="G5" s="10" t="inlineStr">
        <is>
          <t>Sangat Rendah</t>
        </is>
      </c>
    </row>
    <row r="6" ht="15" customHeight="1" s="11">
      <c r="A6" s="10" t="n">
        <v>2</v>
      </c>
      <c r="B6" s="10" t="inlineStr">
        <is>
          <t>3-4 Core</t>
        </is>
      </c>
      <c r="C6" s="10" t="inlineStr">
        <is>
          <t>Rendah</t>
        </is>
      </c>
      <c r="E6" s="10" t="n">
        <v>2</v>
      </c>
      <c r="F6" s="10" t="inlineStr">
        <is>
          <t>201-400 MB/s</t>
        </is>
      </c>
      <c r="G6" s="10" t="inlineStr">
        <is>
          <t>Rendah</t>
        </is>
      </c>
    </row>
    <row r="7" ht="15" customHeight="1" s="11">
      <c r="A7" s="10" t="n">
        <v>3</v>
      </c>
      <c r="B7" s="10" t="inlineStr">
        <is>
          <t>5-6 Core</t>
        </is>
      </c>
      <c r="C7" s="10" t="inlineStr">
        <is>
          <t>Sedang</t>
        </is>
      </c>
      <c r="E7" s="10" t="n">
        <v>3</v>
      </c>
      <c r="F7" s="10" t="inlineStr">
        <is>
          <t>401-600 MB/s</t>
        </is>
      </c>
      <c r="G7" s="10" t="inlineStr">
        <is>
          <t>Sedang</t>
        </is>
      </c>
    </row>
    <row r="8" ht="15" customHeight="1" s="11">
      <c r="A8" s="10" t="n">
        <v>4</v>
      </c>
      <c r="B8" s="10" t="inlineStr">
        <is>
          <t>7-8 Core</t>
        </is>
      </c>
      <c r="C8" s="10" t="inlineStr">
        <is>
          <t>Tinggi</t>
        </is>
      </c>
      <c r="E8" s="10" t="n">
        <v>4</v>
      </c>
      <c r="F8" s="10" t="inlineStr">
        <is>
          <t>601-800 MB/s</t>
        </is>
      </c>
      <c r="G8" s="10" t="inlineStr">
        <is>
          <t>Tinggi</t>
        </is>
      </c>
    </row>
    <row r="9" ht="15" customHeight="1" s="11">
      <c r="A9" s="10" t="n">
        <v>5</v>
      </c>
      <c r="B9" s="10" t="inlineStr">
        <is>
          <t>9+ Core</t>
        </is>
      </c>
      <c r="C9" s="10" t="inlineStr">
        <is>
          <t>Sangat Tinggi</t>
        </is>
      </c>
      <c r="E9" s="10" t="n">
        <v>5</v>
      </c>
      <c r="F9" s="10" t="inlineStr">
        <is>
          <t>801+ MB/s</t>
        </is>
      </c>
      <c r="G9" s="10" t="inlineStr">
        <is>
          <t>Sangat Tinggi</t>
        </is>
      </c>
    </row>
    <row r="11" ht="15" customHeight="1" s="11">
      <c r="A11" s="13" t="inlineStr">
        <is>
          <t>RAM (BENEFIT)</t>
        </is>
      </c>
      <c r="E11" s="13" t="inlineStr">
        <is>
          <t>Harga (COST)</t>
        </is>
      </c>
    </row>
    <row r="12" ht="15" customHeight="1" s="11">
      <c r="A12" s="14" t="inlineStr">
        <is>
          <t>Level</t>
        </is>
      </c>
      <c r="B12" s="14" t="inlineStr">
        <is>
          <t>Range</t>
        </is>
      </c>
      <c r="C12" s="14" t="inlineStr">
        <is>
          <t>Kategori</t>
        </is>
      </c>
      <c r="E12" s="14" t="inlineStr">
        <is>
          <t>Level</t>
        </is>
      </c>
      <c r="F12" s="14" t="inlineStr">
        <is>
          <t>Range</t>
        </is>
      </c>
      <c r="G12" s="14" t="inlineStr">
        <is>
          <t>Kategori</t>
        </is>
      </c>
    </row>
    <row r="13" ht="15" customHeight="1" s="11">
      <c r="A13" s="10" t="n">
        <v>1</v>
      </c>
      <c r="B13" s="10" t="inlineStr">
        <is>
          <t>1-2 GB</t>
        </is>
      </c>
      <c r="C13" s="10" t="inlineStr">
        <is>
          <t>Sangat Rendah</t>
        </is>
      </c>
      <c r="E13" s="10" t="n">
        <v>1</v>
      </c>
      <c r="F13" s="10" t="inlineStr">
        <is>
          <t>$5-$20</t>
        </is>
      </c>
      <c r="G13" s="10" t="inlineStr">
        <is>
          <t>Sangat Murah</t>
        </is>
      </c>
    </row>
    <row r="14" ht="15" customHeight="1" s="11">
      <c r="A14" s="10" t="n">
        <v>2</v>
      </c>
      <c r="B14" s="10" t="inlineStr">
        <is>
          <t>3-4 GB</t>
        </is>
      </c>
      <c r="C14" s="10" t="inlineStr">
        <is>
          <t>Rendah</t>
        </is>
      </c>
      <c r="E14" s="10" t="n">
        <v>2</v>
      </c>
      <c r="F14" s="10" t="inlineStr">
        <is>
          <t>$21-$50</t>
        </is>
      </c>
      <c r="G14" s="10" t="inlineStr">
        <is>
          <t>Murah</t>
        </is>
      </c>
    </row>
    <row r="15" ht="15" customHeight="1" s="11">
      <c r="A15" s="10" t="n">
        <v>3</v>
      </c>
      <c r="B15" s="10" t="inlineStr">
        <is>
          <t>5-8 GB</t>
        </is>
      </c>
      <c r="C15" s="10" t="inlineStr">
        <is>
          <t>Sedang</t>
        </is>
      </c>
      <c r="E15" s="10" t="n">
        <v>3</v>
      </c>
      <c r="F15" s="10" t="inlineStr">
        <is>
          <t>$51-$100</t>
        </is>
      </c>
      <c r="G15" s="10" t="inlineStr">
        <is>
          <t>Sedang</t>
        </is>
      </c>
    </row>
    <row r="16" ht="15" customHeight="1" s="11">
      <c r="A16" s="10" t="n">
        <v>4</v>
      </c>
      <c r="B16" s="10" t="inlineStr">
        <is>
          <t>9-16 GB</t>
        </is>
      </c>
      <c r="C16" s="10" t="inlineStr">
        <is>
          <t>Tinggi</t>
        </is>
      </c>
      <c r="E16" s="10" t="n">
        <v>4</v>
      </c>
      <c r="F16" s="10" t="inlineStr">
        <is>
          <t>$101-$200</t>
        </is>
      </c>
      <c r="G16" s="10" t="inlineStr">
        <is>
          <t>Mahal</t>
        </is>
      </c>
    </row>
    <row r="17" ht="15" customHeight="1" s="11">
      <c r="A17" s="10" t="n">
        <v>5</v>
      </c>
      <c r="B17" s="10" t="inlineStr">
        <is>
          <t>17+ GB</t>
        </is>
      </c>
      <c r="C17" s="10" t="inlineStr">
        <is>
          <t>Sangat Tinggi</t>
        </is>
      </c>
      <c r="E17" s="10" t="n">
        <v>5</v>
      </c>
      <c r="F17" s="10" t="inlineStr">
        <is>
          <t>$201+</t>
        </is>
      </c>
      <c r="G17" s="10" t="inlineStr">
        <is>
          <t>Sangat Mahal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24"/>
  <sheetViews>
    <sheetView workbookViewId="0">
      <selection activeCell="A1" sqref="A1"/>
    </sheetView>
  </sheetViews>
  <sheetFormatPr baseColWidth="8" defaultRowHeight="15"/>
  <sheetData>
    <row r="3">
      <c r="A3" s="15" t="inlineStr">
        <is>
          <t>No</t>
        </is>
      </c>
      <c r="B3" s="15" t="inlineStr">
        <is>
          <t>Vendor</t>
        </is>
      </c>
      <c r="C3" s="15" t="inlineStr">
        <is>
          <t>Nama Paket (Plan)</t>
        </is>
      </c>
      <c r="D3" s="15" t="inlineStr">
        <is>
          <t>CPU_Level</t>
        </is>
      </c>
      <c r="E3" s="15" t="inlineStr">
        <is>
          <t>RAM_Level</t>
        </is>
      </c>
      <c r="F3" s="15" t="inlineStr">
        <is>
          <t>DiskIO_Level</t>
        </is>
      </c>
      <c r="G3" s="15" t="inlineStr">
        <is>
          <t>Price_Level</t>
        </is>
      </c>
    </row>
    <row r="4">
      <c r="A4" t="n">
        <v>1</v>
      </c>
      <c r="B4" t="inlineStr">
        <is>
          <t>Hetzner</t>
        </is>
      </c>
      <c r="C4" t="inlineStr">
        <is>
          <t>CPX31</t>
        </is>
      </c>
      <c r="D4" t="n">
        <v>2</v>
      </c>
      <c r="E4" t="n">
        <v>3</v>
      </c>
      <c r="F4" t="n">
        <v>1</v>
      </c>
      <c r="G4" t="n">
        <v>1</v>
      </c>
    </row>
    <row r="5">
      <c r="A5" t="n">
        <v>2</v>
      </c>
      <c r="B5" t="inlineStr">
        <is>
          <t>OVHcloud</t>
        </is>
      </c>
      <c r="C5" t="inlineStr">
        <is>
          <t>VLE-4 (Comfort)</t>
        </is>
      </c>
      <c r="D5" t="n">
        <v>2</v>
      </c>
      <c r="E5" t="n">
        <v>3</v>
      </c>
      <c r="F5" t="n">
        <v>1</v>
      </c>
      <c r="G5" t="n">
        <v>1</v>
      </c>
    </row>
    <row r="6">
      <c r="A6" t="n">
        <v>3</v>
      </c>
      <c r="B6" t="inlineStr">
        <is>
          <t>Dewaweb</t>
        </is>
      </c>
      <c r="C6" t="inlineStr">
        <is>
          <t>Cloud VPS (Paket M)</t>
        </is>
      </c>
      <c r="D6" t="n">
        <v>3</v>
      </c>
      <c r="E6" t="n">
        <v>4</v>
      </c>
      <c r="F6" t="n">
        <v>1</v>
      </c>
      <c r="G6" t="n">
        <v>1</v>
      </c>
    </row>
    <row r="7">
      <c r="A7" t="n">
        <v>4</v>
      </c>
      <c r="B7" t="inlineStr">
        <is>
          <t>IDCloudHost</t>
        </is>
      </c>
      <c r="C7" t="inlineStr">
        <is>
          <t>Cloud VPS Pro (8GB)</t>
        </is>
      </c>
      <c r="D7" t="n">
        <v>2</v>
      </c>
      <c r="E7" t="n">
        <v>3</v>
      </c>
      <c r="F7" t="n">
        <v>5</v>
      </c>
      <c r="G7" t="n">
        <v>1</v>
      </c>
    </row>
    <row r="8">
      <c r="A8" t="n">
        <v>5</v>
      </c>
      <c r="B8" t="inlineStr">
        <is>
          <t>Niagahoster</t>
        </is>
      </c>
      <c r="C8" t="inlineStr">
        <is>
          <t>Cloud VPS KVM 8GB</t>
        </is>
      </c>
      <c r="D8" t="n">
        <v>2</v>
      </c>
      <c r="E8" t="n">
        <v>3</v>
      </c>
      <c r="F8" t="n">
        <v>1</v>
      </c>
      <c r="G8" t="n">
        <v>2</v>
      </c>
    </row>
    <row r="9">
      <c r="A9" t="n">
        <v>6</v>
      </c>
      <c r="B9" t="inlineStr">
        <is>
          <t>Biznet Gio</t>
        </is>
      </c>
      <c r="C9" t="inlineStr">
        <is>
          <t>NEO Lite (MM.8.4)</t>
        </is>
      </c>
      <c r="D9" t="n">
        <v>2</v>
      </c>
      <c r="E9" t="n">
        <v>3</v>
      </c>
      <c r="F9" t="n">
        <v>1</v>
      </c>
      <c r="G9" t="n">
        <v>2</v>
      </c>
    </row>
    <row r="10">
      <c r="A10" t="n">
        <v>7</v>
      </c>
      <c r="B10" t="inlineStr">
        <is>
          <t>Rumahweb</t>
        </is>
      </c>
      <c r="C10" t="inlineStr">
        <is>
          <t>Cloud VPS 8GB</t>
        </is>
      </c>
      <c r="D10" t="n">
        <v>2</v>
      </c>
      <c r="E10" t="n">
        <v>3</v>
      </c>
      <c r="F10" t="n">
        <v>1</v>
      </c>
      <c r="G10" t="n">
        <v>2</v>
      </c>
    </row>
    <row r="11">
      <c r="A11" t="n">
        <v>8</v>
      </c>
      <c r="B11" t="inlineStr">
        <is>
          <t>DomaiNesia</t>
        </is>
      </c>
      <c r="C11" t="inlineStr">
        <is>
          <t>Cloud VPS Cirrus 8GB</t>
        </is>
      </c>
      <c r="D11" t="n">
        <v>2</v>
      </c>
      <c r="E11" t="n">
        <v>3</v>
      </c>
      <c r="F11" t="n">
        <v>1</v>
      </c>
      <c r="G11" t="n">
        <v>2</v>
      </c>
    </row>
    <row r="12">
      <c r="A12" t="n">
        <v>9</v>
      </c>
      <c r="B12" t="inlineStr">
        <is>
          <t>Qwords</t>
        </is>
      </c>
      <c r="C12" t="inlineStr">
        <is>
          <t>Cloud VPS KVM SC8</t>
        </is>
      </c>
      <c r="D12" t="n">
        <v>2</v>
      </c>
      <c r="E12" t="n">
        <v>3</v>
      </c>
      <c r="F12" t="n">
        <v>1</v>
      </c>
      <c r="G12" t="n">
        <v>2</v>
      </c>
    </row>
    <row r="13">
      <c r="A13" t="n">
        <v>10</v>
      </c>
      <c r="B13" t="inlineStr">
        <is>
          <t>Jagoan Hosting</t>
        </is>
      </c>
      <c r="C13" t="inlineStr">
        <is>
          <t>Cloud VPS Mega</t>
        </is>
      </c>
      <c r="D13" t="n">
        <v>2</v>
      </c>
      <c r="E13" t="n">
        <v>3</v>
      </c>
      <c r="F13" t="n">
        <v>1</v>
      </c>
      <c r="G13" t="n">
        <v>2</v>
      </c>
    </row>
    <row r="14">
      <c r="A14" t="n">
        <v>11</v>
      </c>
      <c r="B14" t="inlineStr">
        <is>
          <t>Linode</t>
        </is>
      </c>
      <c r="C14" t="inlineStr">
        <is>
          <t>Shared Linode 8GB</t>
        </is>
      </c>
      <c r="D14" t="n">
        <v>2</v>
      </c>
      <c r="E14" t="n">
        <v>3</v>
      </c>
      <c r="F14" t="n">
        <v>4</v>
      </c>
      <c r="G14" t="n">
        <v>2</v>
      </c>
    </row>
    <row r="15">
      <c r="A15" t="n">
        <v>12</v>
      </c>
      <c r="B15" t="inlineStr">
        <is>
          <t>DigitalOcean</t>
        </is>
      </c>
      <c r="C15" t="inlineStr">
        <is>
          <t>Premium Droplet</t>
        </is>
      </c>
      <c r="D15" t="n">
        <v>2</v>
      </c>
      <c r="E15" t="n">
        <v>3</v>
      </c>
      <c r="F15" t="n">
        <v>3</v>
      </c>
      <c r="G15" t="n">
        <v>2</v>
      </c>
    </row>
    <row r="16">
      <c r="A16" t="n">
        <v>13</v>
      </c>
      <c r="B16" t="inlineStr">
        <is>
          <t>Vultr</t>
        </is>
      </c>
      <c r="C16" t="inlineStr">
        <is>
          <t>Cloud Compute</t>
        </is>
      </c>
      <c r="D16" t="n">
        <v>2</v>
      </c>
      <c r="E16" t="n">
        <v>3</v>
      </c>
      <c r="F16" t="n">
        <v>5</v>
      </c>
      <c r="G16" t="n">
        <v>2</v>
      </c>
    </row>
    <row r="17">
      <c r="A17" t="n">
        <v>14</v>
      </c>
      <c r="B17" t="inlineStr">
        <is>
          <t>Tencent Cloud</t>
        </is>
      </c>
      <c r="C17" t="inlineStr">
        <is>
          <t>S5.LARGE16 + 100GB</t>
        </is>
      </c>
      <c r="D17" t="n">
        <v>2</v>
      </c>
      <c r="E17" t="n">
        <v>4</v>
      </c>
      <c r="F17" t="n">
        <v>1</v>
      </c>
      <c r="G17" t="n">
        <v>3</v>
      </c>
    </row>
    <row r="18">
      <c r="A18" t="n">
        <v>15</v>
      </c>
      <c r="B18" t="inlineStr">
        <is>
          <t>Scaleway</t>
        </is>
      </c>
      <c r="C18" t="inlineStr">
        <is>
          <t>PRO2-S</t>
        </is>
      </c>
      <c r="D18" t="n">
        <v>2</v>
      </c>
      <c r="E18" t="n">
        <v>4</v>
      </c>
      <c r="F18" t="n">
        <v>1</v>
      </c>
      <c r="G18" t="n">
        <v>3</v>
      </c>
    </row>
    <row r="19">
      <c r="A19" t="n">
        <v>16</v>
      </c>
      <c r="B19" t="inlineStr">
        <is>
          <t>UpCloud</t>
        </is>
      </c>
      <c r="C19" t="inlineStr">
        <is>
          <t>General Purpose</t>
        </is>
      </c>
      <c r="D19" t="n">
        <v>2</v>
      </c>
      <c r="E19" t="n">
        <v>3</v>
      </c>
      <c r="F19" t="n">
        <v>1</v>
      </c>
      <c r="G19" t="n">
        <v>3</v>
      </c>
    </row>
    <row r="20">
      <c r="A20" t="n">
        <v>17</v>
      </c>
      <c r="B20" t="inlineStr">
        <is>
          <t>Alibaba Cloud</t>
        </is>
      </c>
      <c r="C20" t="inlineStr">
        <is>
          <t>ecs.g6.xlarge + 100GB</t>
        </is>
      </c>
      <c r="D20" t="n">
        <v>2</v>
      </c>
      <c r="E20" t="n">
        <v>4</v>
      </c>
      <c r="F20" t="n">
        <v>5</v>
      </c>
      <c r="G20" t="n">
        <v>3</v>
      </c>
    </row>
    <row r="21">
      <c r="A21" t="n">
        <v>18</v>
      </c>
      <c r="B21" t="inlineStr">
        <is>
          <t>Google Cloud</t>
        </is>
      </c>
      <c r="C21" t="inlineStr">
        <is>
          <t>e2-standard-4 + 100GB</t>
        </is>
      </c>
      <c r="D21" t="n">
        <v>2</v>
      </c>
      <c r="E21" t="n">
        <v>4</v>
      </c>
      <c r="F21" t="n">
        <v>5</v>
      </c>
      <c r="G21" t="n">
        <v>4</v>
      </c>
    </row>
    <row r="22">
      <c r="A22" t="n">
        <v>19</v>
      </c>
      <c r="B22" t="inlineStr">
        <is>
          <t>AWS EC2</t>
        </is>
      </c>
      <c r="C22" t="inlineStr">
        <is>
          <t>t3.xlarge + 100GB</t>
        </is>
      </c>
      <c r="D22" t="n">
        <v>2</v>
      </c>
      <c r="E22" t="n">
        <v>4</v>
      </c>
      <c r="F22" t="n">
        <v>4</v>
      </c>
      <c r="G22" t="n">
        <v>4</v>
      </c>
    </row>
    <row r="23">
      <c r="A23" t="n">
        <v>20</v>
      </c>
      <c r="B23" t="inlineStr">
        <is>
          <t>Azure</t>
        </is>
      </c>
      <c r="C23" t="inlineStr">
        <is>
          <t>B4ms + 100GB</t>
        </is>
      </c>
      <c r="D23" t="n">
        <v>2</v>
      </c>
      <c r="E23" t="n">
        <v>4</v>
      </c>
      <c r="F23" t="n">
        <v>1</v>
      </c>
      <c r="G23" t="n">
        <v>4</v>
      </c>
    </row>
    <row r="24">
      <c r="A24" t="n">
        <v>21</v>
      </c>
      <c r="B24" t="inlineStr">
        <is>
          <t>Test Cloud</t>
        </is>
      </c>
      <c r="C24" t="inlineStr">
        <is>
          <t>Test Plan</t>
        </is>
      </c>
      <c r="D24" t="n">
        <v>3</v>
      </c>
      <c r="E24" t="n">
        <v>3</v>
      </c>
      <c r="F24" t="n">
        <v>3</v>
      </c>
      <c r="G2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3" customWidth="1" style="10" min="1" max="1"/>
    <col width="23" customWidth="1" style="10" min="2" max="2"/>
    <col width="42" customWidth="1" style="10" min="3" max="3"/>
    <col width="43" customWidth="1" style="10" min="4" max="4"/>
    <col width="50" customWidth="1" style="10" min="5" max="5"/>
    <col width="48" customWidth="1" style="10" min="6" max="6"/>
  </cols>
  <sheetData>
    <row r="1" ht="17.35" customHeight="1" s="11">
      <c r="A1" s="16" t="inlineStr">
        <is>
          <t>KONVERSI LEVEL KE NILAI AKTUAL (OTOMATIS)</t>
        </is>
      </c>
    </row>
    <row r="3" ht="15" customHeight="1" s="11">
      <c r="A3" s="17" t="inlineStr">
        <is>
          <t>No</t>
        </is>
      </c>
      <c r="B3" s="17" t="inlineStr">
        <is>
          <t>Vendor</t>
        </is>
      </c>
      <c r="C3" s="17" t="inlineStr">
        <is>
          <t>CPU</t>
        </is>
      </c>
      <c r="D3" s="17" t="inlineStr">
        <is>
          <t>RAM</t>
        </is>
      </c>
      <c r="E3" s="17" t="inlineStr">
        <is>
          <t>Disk I/O</t>
        </is>
      </c>
      <c r="F3" s="17" t="inlineStr">
        <is>
          <t>Harga</t>
        </is>
      </c>
    </row>
    <row r="4" ht="15" customHeight="1" s="11">
      <c r="A4" s="10" t="n">
        <v>1</v>
      </c>
      <c r="B4" s="10">
        <f>'1. Input Level'!B4</f>
        <v/>
      </c>
      <c r="C4" s="10">
        <f>CHOOSE('1. Input Level'!D4,2,4,6,8,10)</f>
        <v/>
      </c>
      <c r="D4" s="10">
        <f>CHOOSE('1. Input Level'!E4,2,4,8,16,32)</f>
        <v/>
      </c>
      <c r="E4" s="10">
        <f>CHOOSE('1. Input Level'!F4,150,300,500,700,1000)</f>
        <v/>
      </c>
      <c r="F4" s="10">
        <f>CHOOSE('1. Input Level'!G4,15,35,75,150,250)</f>
        <v/>
      </c>
    </row>
    <row r="5" ht="15" customHeight="1" s="11">
      <c r="A5" s="10" t="n">
        <v>2</v>
      </c>
      <c r="B5" s="10">
        <f>'1. Input Level'!B5</f>
        <v/>
      </c>
      <c r="C5" s="10">
        <f>CHOOSE('1. Input Level'!D5,2,4,6,8,10)</f>
        <v/>
      </c>
      <c r="D5" s="10">
        <f>CHOOSE('1. Input Level'!E5,2,4,8,16,32)</f>
        <v/>
      </c>
      <c r="E5" s="10">
        <f>CHOOSE('1. Input Level'!F5,150,300,500,700,1000)</f>
        <v/>
      </c>
      <c r="F5" s="10">
        <f>CHOOSE('1. Input Level'!G5,15,35,75,150,250)</f>
        <v/>
      </c>
    </row>
    <row r="6" ht="15" customHeight="1" s="11">
      <c r="A6" s="10" t="n">
        <v>3</v>
      </c>
      <c r="B6" s="10">
        <f>'1. Input Level'!B6</f>
        <v/>
      </c>
      <c r="C6" s="10">
        <f>CHOOSE('1. Input Level'!D6,2,4,6,8,10)</f>
        <v/>
      </c>
      <c r="D6" s="10">
        <f>CHOOSE('1. Input Level'!E6,2,4,8,16,32)</f>
        <v/>
      </c>
      <c r="E6" s="10">
        <f>CHOOSE('1. Input Level'!F6,150,300,500,700,1000)</f>
        <v/>
      </c>
      <c r="F6" s="10">
        <f>CHOOSE('1. Input Level'!G6,15,35,75,150,250)</f>
        <v/>
      </c>
    </row>
    <row r="7" ht="15" customHeight="1" s="11">
      <c r="A7" s="10" t="n">
        <v>4</v>
      </c>
      <c r="B7" s="10">
        <f>'1. Input Level'!B7</f>
        <v/>
      </c>
      <c r="C7" s="10">
        <f>CHOOSE('1. Input Level'!D7,2,4,6,8,10)</f>
        <v/>
      </c>
      <c r="D7" s="10">
        <f>CHOOSE('1. Input Level'!E7,2,4,8,16,32)</f>
        <v/>
      </c>
      <c r="E7" s="10">
        <f>CHOOSE('1. Input Level'!F7,150,300,500,700,1000)</f>
        <v/>
      </c>
      <c r="F7" s="10">
        <f>CHOOSE('1. Input Level'!G7,15,35,75,150,250)</f>
        <v/>
      </c>
    </row>
    <row r="8" ht="15" customHeight="1" s="11">
      <c r="A8" s="10" t="n">
        <v>5</v>
      </c>
      <c r="B8" s="10">
        <f>'1. Input Level'!B8</f>
        <v/>
      </c>
      <c r="C8" s="10">
        <f>CHOOSE('1. Input Level'!D8,2,4,6,8,10)</f>
        <v/>
      </c>
      <c r="D8" s="10">
        <f>CHOOSE('1. Input Level'!E8,2,4,8,16,32)</f>
        <v/>
      </c>
      <c r="E8" s="10">
        <f>CHOOSE('1. Input Level'!F8,150,300,500,700,1000)</f>
        <v/>
      </c>
      <c r="F8" s="10">
        <f>CHOOSE('1. Input Level'!G8,15,35,75,150,250)</f>
        <v/>
      </c>
    </row>
    <row r="9" ht="15" customHeight="1" s="11">
      <c r="A9" s="10" t="n">
        <v>6</v>
      </c>
      <c r="B9" s="10">
        <f>'1. Input Level'!B9</f>
        <v/>
      </c>
      <c r="C9" s="10">
        <f>CHOOSE('1. Input Level'!D9,2,4,6,8,10)</f>
        <v/>
      </c>
      <c r="D9" s="10">
        <f>CHOOSE('1. Input Level'!E9,2,4,8,16,32)</f>
        <v/>
      </c>
      <c r="E9" s="10">
        <f>CHOOSE('1. Input Level'!F9,150,300,500,700,1000)</f>
        <v/>
      </c>
      <c r="F9" s="10">
        <f>CHOOSE('1. Input Level'!G9,15,35,75,150,250)</f>
        <v/>
      </c>
    </row>
    <row r="10" ht="15" customHeight="1" s="11">
      <c r="A10" s="10" t="n">
        <v>7</v>
      </c>
      <c r="B10" s="10">
        <f>'1. Input Level'!B10</f>
        <v/>
      </c>
      <c r="C10" s="10">
        <f>CHOOSE('1. Input Level'!D10,2,4,6,8,10)</f>
        <v/>
      </c>
      <c r="D10" s="10">
        <f>CHOOSE('1. Input Level'!E10,2,4,8,16,32)</f>
        <v/>
      </c>
      <c r="E10" s="10">
        <f>CHOOSE('1. Input Level'!F10,150,300,500,700,1000)</f>
        <v/>
      </c>
      <c r="F10" s="10">
        <f>CHOOSE('1. Input Level'!G10,15,35,75,150,250)</f>
        <v/>
      </c>
    </row>
    <row r="11" ht="15" customHeight="1" s="11">
      <c r="A11" s="10" t="n">
        <v>8</v>
      </c>
      <c r="B11" s="10">
        <f>'1. Input Level'!B11</f>
        <v/>
      </c>
      <c r="C11" s="10">
        <f>CHOOSE('1. Input Level'!D11,2,4,6,8,10)</f>
        <v/>
      </c>
      <c r="D11" s="10">
        <f>CHOOSE('1. Input Level'!E11,2,4,8,16,32)</f>
        <v/>
      </c>
      <c r="E11" s="10">
        <f>CHOOSE('1. Input Level'!F11,150,300,500,700,1000)</f>
        <v/>
      </c>
      <c r="F11" s="10">
        <f>CHOOSE('1. Input Level'!G11,15,35,75,150,250)</f>
        <v/>
      </c>
    </row>
    <row r="12" ht="15" customHeight="1" s="11">
      <c r="A12" s="10" t="n">
        <v>9</v>
      </c>
      <c r="B12" s="10">
        <f>'1. Input Level'!B12</f>
        <v/>
      </c>
      <c r="C12" s="10">
        <f>CHOOSE('1. Input Level'!D12,2,4,6,8,10)</f>
        <v/>
      </c>
      <c r="D12" s="10">
        <f>CHOOSE('1. Input Level'!E12,2,4,8,16,32)</f>
        <v/>
      </c>
      <c r="E12" s="10">
        <f>CHOOSE('1. Input Level'!F12,150,300,500,700,1000)</f>
        <v/>
      </c>
      <c r="F12" s="10">
        <f>CHOOSE('1. Input Level'!G12,15,35,75,150,250)</f>
        <v/>
      </c>
    </row>
    <row r="13" ht="15" customHeight="1" s="11">
      <c r="A13" s="10" t="n">
        <v>10</v>
      </c>
      <c r="B13" s="10">
        <f>'1. Input Level'!B13</f>
        <v/>
      </c>
      <c r="C13" s="10">
        <f>CHOOSE('1. Input Level'!D13,2,4,6,8,10)</f>
        <v/>
      </c>
      <c r="D13" s="10">
        <f>CHOOSE('1. Input Level'!E13,2,4,8,16,32)</f>
        <v/>
      </c>
      <c r="E13" s="10">
        <f>CHOOSE('1. Input Level'!F13,150,300,500,700,1000)</f>
        <v/>
      </c>
      <c r="F13" s="10">
        <f>CHOOSE('1. Input Level'!G13,15,35,75,150,250)</f>
        <v/>
      </c>
    </row>
    <row r="14" ht="15" customHeight="1" s="11">
      <c r="A14" s="10" t="n">
        <v>11</v>
      </c>
      <c r="B14" s="10">
        <f>'1. Input Level'!B14</f>
        <v/>
      </c>
      <c r="C14" s="10">
        <f>CHOOSE('1. Input Level'!D14,2,4,6,8,10)</f>
        <v/>
      </c>
      <c r="D14" s="10">
        <f>CHOOSE('1. Input Level'!E14,2,4,8,16,32)</f>
        <v/>
      </c>
      <c r="E14" s="10">
        <f>CHOOSE('1. Input Level'!F14,150,300,500,700,1000)</f>
        <v/>
      </c>
      <c r="F14" s="10">
        <f>CHOOSE('1. Input Level'!G14,15,35,75,150,250)</f>
        <v/>
      </c>
    </row>
    <row r="15" ht="15" customHeight="1" s="11">
      <c r="A15" s="10" t="n">
        <v>12</v>
      </c>
      <c r="B15" s="10">
        <f>'1. Input Level'!B15</f>
        <v/>
      </c>
      <c r="C15" s="10">
        <f>CHOOSE('1. Input Level'!D15,2,4,6,8,10)</f>
        <v/>
      </c>
      <c r="D15" s="10">
        <f>CHOOSE('1. Input Level'!E15,2,4,8,16,32)</f>
        <v/>
      </c>
      <c r="E15" s="10">
        <f>CHOOSE('1. Input Level'!F15,150,300,500,700,1000)</f>
        <v/>
      </c>
      <c r="F15" s="10">
        <f>CHOOSE('1. Input Level'!G15,15,35,75,150,250)</f>
        <v/>
      </c>
    </row>
    <row r="16" ht="15" customHeight="1" s="11">
      <c r="A16" s="10" t="n">
        <v>13</v>
      </c>
      <c r="B16" s="10">
        <f>'1. Input Level'!B16</f>
        <v/>
      </c>
      <c r="C16" s="10">
        <f>CHOOSE('1. Input Level'!D16,2,4,6,8,10)</f>
        <v/>
      </c>
      <c r="D16" s="10">
        <f>CHOOSE('1. Input Level'!E16,2,4,8,16,32)</f>
        <v/>
      </c>
      <c r="E16" s="10">
        <f>CHOOSE('1. Input Level'!F16,150,300,500,700,1000)</f>
        <v/>
      </c>
      <c r="F16" s="10">
        <f>CHOOSE('1. Input Level'!G16,15,35,75,150,250)</f>
        <v/>
      </c>
    </row>
    <row r="17" ht="15" customHeight="1" s="11">
      <c r="A17" s="10" t="n">
        <v>14</v>
      </c>
      <c r="B17" s="10">
        <f>'1. Input Level'!B17</f>
        <v/>
      </c>
      <c r="C17" s="10">
        <f>CHOOSE('1. Input Level'!D17,2,4,6,8,10)</f>
        <v/>
      </c>
      <c r="D17" s="10">
        <f>CHOOSE('1. Input Level'!E17,2,4,8,16,32)</f>
        <v/>
      </c>
      <c r="E17" s="10">
        <f>CHOOSE('1. Input Level'!F17,150,300,500,700,1000)</f>
        <v/>
      </c>
      <c r="F17" s="10">
        <f>CHOOSE('1. Input Level'!G17,15,35,75,150,250)</f>
        <v/>
      </c>
    </row>
    <row r="18" ht="15" customHeight="1" s="11">
      <c r="A18" s="10" t="n">
        <v>15</v>
      </c>
      <c r="B18" s="10">
        <f>'1. Input Level'!B18</f>
        <v/>
      </c>
      <c r="C18" s="10">
        <f>CHOOSE('1. Input Level'!D18,2,4,6,8,10)</f>
        <v/>
      </c>
      <c r="D18" s="10">
        <f>CHOOSE('1. Input Level'!E18,2,4,8,16,32)</f>
        <v/>
      </c>
      <c r="E18" s="10">
        <f>CHOOSE('1. Input Level'!F18,150,300,500,700,1000)</f>
        <v/>
      </c>
      <c r="F18" s="10">
        <f>CHOOSE('1. Input Level'!G18,15,35,75,150,250)</f>
        <v/>
      </c>
    </row>
    <row r="19" ht="15" customHeight="1" s="11">
      <c r="A19" s="10" t="n">
        <v>16</v>
      </c>
      <c r="B19" s="10">
        <f>'1. Input Level'!B19</f>
        <v/>
      </c>
      <c r="C19" s="10">
        <f>CHOOSE('1. Input Level'!D19,2,4,6,8,10)</f>
        <v/>
      </c>
      <c r="D19" s="10">
        <f>CHOOSE('1. Input Level'!E19,2,4,8,16,32)</f>
        <v/>
      </c>
      <c r="E19" s="10">
        <f>CHOOSE('1. Input Level'!F19,150,300,500,700,1000)</f>
        <v/>
      </c>
      <c r="F19" s="10">
        <f>CHOOSE('1. Input Level'!G19,15,35,75,150,250)</f>
        <v/>
      </c>
    </row>
    <row r="20" ht="15" customHeight="1" s="11">
      <c r="A20" s="10" t="n">
        <v>17</v>
      </c>
      <c r="B20" s="10">
        <f>'1. Input Level'!B20</f>
        <v/>
      </c>
      <c r="C20" s="10">
        <f>CHOOSE('1. Input Level'!D20,2,4,6,8,10)</f>
        <v/>
      </c>
      <c r="D20" s="10">
        <f>CHOOSE('1. Input Level'!E20,2,4,8,16,32)</f>
        <v/>
      </c>
      <c r="E20" s="10">
        <f>CHOOSE('1. Input Level'!F20,150,300,500,700,1000)</f>
        <v/>
      </c>
      <c r="F20" s="10">
        <f>CHOOSE('1. Input Level'!G20,15,35,75,150,250)</f>
        <v/>
      </c>
    </row>
    <row r="21" ht="15" customHeight="1" s="11">
      <c r="A21" s="10" t="n">
        <v>18</v>
      </c>
      <c r="B21" s="10">
        <f>'1. Input Level'!B21</f>
        <v/>
      </c>
      <c r="C21" s="10">
        <f>CHOOSE('1. Input Level'!D21,2,4,6,8,10)</f>
        <v/>
      </c>
      <c r="D21" s="10">
        <f>CHOOSE('1. Input Level'!E21,2,4,8,16,32)</f>
        <v/>
      </c>
      <c r="E21" s="10">
        <f>CHOOSE('1. Input Level'!F21,150,300,500,700,1000)</f>
        <v/>
      </c>
      <c r="F21" s="10">
        <f>CHOOSE('1. Input Level'!G21,15,35,75,150,250)</f>
        <v/>
      </c>
    </row>
    <row r="22" ht="15" customHeight="1" s="11">
      <c r="A22" s="10" t="n">
        <v>19</v>
      </c>
      <c r="B22" s="10">
        <f>'1. Input Level'!B22</f>
        <v/>
      </c>
      <c r="C22" s="10">
        <f>CHOOSE('1. Input Level'!D22,2,4,6,8,10)</f>
        <v/>
      </c>
      <c r="D22" s="10">
        <f>CHOOSE('1. Input Level'!E22,2,4,8,16,32)</f>
        <v/>
      </c>
      <c r="E22" s="10">
        <f>CHOOSE('1. Input Level'!F22,150,300,500,700,1000)</f>
        <v/>
      </c>
      <c r="F22" s="10">
        <f>CHOOSE('1. Input Level'!G22,15,35,75,150,250)</f>
        <v/>
      </c>
    </row>
    <row r="23" ht="15" customHeight="1" s="11">
      <c r="A23" s="10" t="n">
        <v>20</v>
      </c>
      <c r="B23" s="10">
        <f>'1. Input Level'!B23</f>
        <v/>
      </c>
      <c r="C23" s="10">
        <f>CHOOSE('1. Input Level'!D23,2,4,6,8,10)</f>
        <v/>
      </c>
      <c r="D23" s="10">
        <f>CHOOSE('1. Input Level'!E23,2,4,8,16,32)</f>
        <v/>
      </c>
      <c r="E23" s="10">
        <f>CHOOSE('1. Input Level'!F23,150,300,500,700,1000)</f>
        <v/>
      </c>
      <c r="F23" s="10">
        <f>CHOOSE('1. Input Level'!G23,15,35,75,150,250)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10" min="1" max="1"/>
    <col width="13" customWidth="1" style="10" min="2" max="2"/>
    <col width="10" customWidth="1" style="10" min="3" max="3"/>
    <col width="15" customWidth="1" style="10" min="4" max="4"/>
    <col width="12" customWidth="1" style="10" min="5" max="5"/>
  </cols>
  <sheetData>
    <row r="1" ht="17.35" customHeight="1" s="11">
      <c r="A1" s="16" t="inlineStr">
        <is>
          <t>BOBOT DAN TIPE KRITERIA</t>
        </is>
      </c>
    </row>
    <row r="3" ht="15" customHeight="1" s="11">
      <c r="A3" s="17" t="inlineStr">
        <is>
          <t>Kriteria</t>
        </is>
      </c>
      <c r="B3" s="17" t="inlineStr">
        <is>
          <t>CPU (C1)</t>
        </is>
      </c>
      <c r="C3" s="17" t="inlineStr">
        <is>
          <t>RAM (C2)</t>
        </is>
      </c>
      <c r="D3" s="17" t="inlineStr">
        <is>
          <t>Disk I/O (C3)</t>
        </is>
      </c>
      <c r="E3" s="17" t="inlineStr">
        <is>
          <t>Harga (C4)</t>
        </is>
      </c>
    </row>
    <row r="4" ht="15" customHeight="1" s="11">
      <c r="A4" s="10" t="inlineStr">
        <is>
          <t>Tipe</t>
        </is>
      </c>
      <c r="B4" s="10" t="inlineStr">
        <is>
          <t>BENEFIT</t>
        </is>
      </c>
      <c r="C4" s="10" t="inlineStr">
        <is>
          <t>BENEFIT</t>
        </is>
      </c>
      <c r="D4" s="10" t="inlineStr">
        <is>
          <t>BENEFIT</t>
        </is>
      </c>
      <c r="E4" s="10" t="inlineStr">
        <is>
          <t>COST</t>
        </is>
      </c>
    </row>
    <row r="5" ht="15" customHeight="1" s="11">
      <c r="A5" s="10" t="inlineStr">
        <is>
          <t>Bobot (W)</t>
        </is>
      </c>
      <c r="B5" s="18" t="n">
        <v>0.25</v>
      </c>
      <c r="C5" s="18" t="n">
        <v>0.25</v>
      </c>
      <c r="D5" s="18" t="n">
        <v>0.25</v>
      </c>
      <c r="E5" s="18" t="n">
        <v>0.25</v>
      </c>
    </row>
    <row r="7" ht="15" customHeight="1" s="11">
      <c r="A7" s="10" t="inlineStr">
        <is>
          <t>Total Bobot:</t>
        </is>
      </c>
      <c r="B7" s="19">
        <f>SUM(B5:E5)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9" customWidth="1" style="10" min="1" max="1"/>
    <col width="50" customWidth="1" style="10" min="2" max="5"/>
  </cols>
  <sheetData>
    <row r="1" ht="17.35" customHeight="1" s="11">
      <c r="A1" s="16" t="inlineStr">
        <is>
          <t>MATRIKS TERNORMALISASI (R)</t>
        </is>
      </c>
    </row>
    <row r="2" ht="15" customHeight="1" s="11">
      <c r="A2" s="20" t="inlineStr">
        <is>
          <t>Rumus: rij = xij / √(Σxij²)</t>
        </is>
      </c>
    </row>
    <row r="4" ht="15" customHeight="1" s="11">
      <c r="A4" s="17" t="inlineStr">
        <is>
          <t>Alternatif</t>
        </is>
      </c>
      <c r="B4" s="17" t="inlineStr">
        <is>
          <t>CPU (C1)</t>
        </is>
      </c>
      <c r="C4" s="17" t="inlineStr">
        <is>
          <t>RAM (C2)</t>
        </is>
      </c>
      <c r="D4" s="17" t="inlineStr">
        <is>
          <t>Disk I/O (C3)</t>
        </is>
      </c>
      <c r="E4" s="17" t="inlineStr">
        <is>
          <t>Harga (C4)</t>
        </is>
      </c>
    </row>
    <row r="5" ht="15" customHeight="1" s="11">
      <c r="A5" s="10" t="inlineStr">
        <is>
          <t>A1</t>
        </is>
      </c>
      <c r="B5" s="10">
        <f>'2. Konversi ke Nilai'!C4/SQRT(SUMPRODUCT('2. Konversi ke Nilai'!$C$4:$C$23,'2. Konversi ke Nilai'!$C$4:$C$23))</f>
        <v/>
      </c>
      <c r="C5" s="10">
        <f>'2. Konversi ke Nilai'!D4/SQRT(SUMPRODUCT('2. Konversi ke Nilai'!$D$4:$D$23,'2. Konversi ke Nilai'!$D$4:$D$23))</f>
        <v/>
      </c>
      <c r="D5" s="10">
        <f>'2. Konversi ke Nilai'!E4/SQRT(SUMPRODUCT('2. Konversi ke Nilai'!$E$4:$E$23,'2. Konversi ke Nilai'!$E$4:$E$23))</f>
        <v/>
      </c>
      <c r="E5" s="10">
        <f>'2. Konversi ke Nilai'!F4/SQRT(SUMPRODUCT('2. Konversi ke Nilai'!$F$4:$F$23,'2. Konversi ke Nilai'!$F$4:$F$23))</f>
        <v/>
      </c>
    </row>
    <row r="6" ht="15" customHeight="1" s="11">
      <c r="A6" s="10" t="inlineStr">
        <is>
          <t>A2</t>
        </is>
      </c>
      <c r="B6" s="10">
        <f>'2. Konversi ke Nilai'!C5/SQRT(SUMPRODUCT('2. Konversi ke Nilai'!$C$4:$C$23,'2. Konversi ke Nilai'!$C$4:$C$23))</f>
        <v/>
      </c>
      <c r="C6" s="10">
        <f>'2. Konversi ke Nilai'!D5/SQRT(SUMPRODUCT('2. Konversi ke Nilai'!$D$4:$D$23,'2. Konversi ke Nilai'!$D$4:$D$23))</f>
        <v/>
      </c>
      <c r="D6" s="10">
        <f>'2. Konversi ke Nilai'!E5/SQRT(SUMPRODUCT('2. Konversi ke Nilai'!$E$4:$E$23,'2. Konversi ke Nilai'!$E$4:$E$23))</f>
        <v/>
      </c>
      <c r="E6" s="10">
        <f>'2. Konversi ke Nilai'!F5/SQRT(SUMPRODUCT('2. Konversi ke Nilai'!$F$4:$F$23,'2. Konversi ke Nilai'!$F$4:$F$23))</f>
        <v/>
      </c>
    </row>
    <row r="7" ht="15" customHeight="1" s="11">
      <c r="A7" s="10" t="inlineStr">
        <is>
          <t>A3</t>
        </is>
      </c>
      <c r="B7" s="10">
        <f>'2. Konversi ke Nilai'!C6/SQRT(SUMPRODUCT('2. Konversi ke Nilai'!$C$4:$C$23,'2. Konversi ke Nilai'!$C$4:$C$23))</f>
        <v/>
      </c>
      <c r="C7" s="10">
        <f>'2. Konversi ke Nilai'!D6/SQRT(SUMPRODUCT('2. Konversi ke Nilai'!$D$4:$D$23,'2. Konversi ke Nilai'!$D$4:$D$23))</f>
        <v/>
      </c>
      <c r="D7" s="10">
        <f>'2. Konversi ke Nilai'!E6/SQRT(SUMPRODUCT('2. Konversi ke Nilai'!$E$4:$E$23,'2. Konversi ke Nilai'!$E$4:$E$23))</f>
        <v/>
      </c>
      <c r="E7" s="10">
        <f>'2. Konversi ke Nilai'!F6/SQRT(SUMPRODUCT('2. Konversi ke Nilai'!$F$4:$F$23,'2. Konversi ke Nilai'!$F$4:$F$23))</f>
        <v/>
      </c>
    </row>
    <row r="8" ht="15" customHeight="1" s="11">
      <c r="A8" s="10" t="inlineStr">
        <is>
          <t>A4</t>
        </is>
      </c>
      <c r="B8" s="10">
        <f>'2. Konversi ke Nilai'!C7/SQRT(SUMPRODUCT('2. Konversi ke Nilai'!$C$4:$C$23,'2. Konversi ke Nilai'!$C$4:$C$23))</f>
        <v/>
      </c>
      <c r="C8" s="10">
        <f>'2. Konversi ke Nilai'!D7/SQRT(SUMPRODUCT('2. Konversi ke Nilai'!$D$4:$D$23,'2. Konversi ke Nilai'!$D$4:$D$23))</f>
        <v/>
      </c>
      <c r="D8" s="10">
        <f>'2. Konversi ke Nilai'!E7/SQRT(SUMPRODUCT('2. Konversi ke Nilai'!$E$4:$E$23,'2. Konversi ke Nilai'!$E$4:$E$23))</f>
        <v/>
      </c>
      <c r="E8" s="10">
        <f>'2. Konversi ke Nilai'!F7/SQRT(SUMPRODUCT('2. Konversi ke Nilai'!$F$4:$F$23,'2. Konversi ke Nilai'!$F$4:$F$23))</f>
        <v/>
      </c>
    </row>
    <row r="9" ht="15" customHeight="1" s="11">
      <c r="A9" s="10" t="inlineStr">
        <is>
          <t>A5</t>
        </is>
      </c>
      <c r="B9" s="10">
        <f>'2. Konversi ke Nilai'!C8/SQRT(SUMPRODUCT('2. Konversi ke Nilai'!$C$4:$C$23,'2. Konversi ke Nilai'!$C$4:$C$23))</f>
        <v/>
      </c>
      <c r="C9" s="10">
        <f>'2. Konversi ke Nilai'!D8/SQRT(SUMPRODUCT('2. Konversi ke Nilai'!$D$4:$D$23,'2. Konversi ke Nilai'!$D$4:$D$23))</f>
        <v/>
      </c>
      <c r="D9" s="10">
        <f>'2. Konversi ke Nilai'!E8/SQRT(SUMPRODUCT('2. Konversi ke Nilai'!$E$4:$E$23,'2. Konversi ke Nilai'!$E$4:$E$23))</f>
        <v/>
      </c>
      <c r="E9" s="10">
        <f>'2. Konversi ke Nilai'!F8/SQRT(SUMPRODUCT('2. Konversi ke Nilai'!$F$4:$F$23,'2. Konversi ke Nilai'!$F$4:$F$23))</f>
        <v/>
      </c>
    </row>
    <row r="10" ht="15" customHeight="1" s="11">
      <c r="A10" s="10" t="inlineStr">
        <is>
          <t>A6</t>
        </is>
      </c>
      <c r="B10" s="10">
        <f>'2. Konversi ke Nilai'!C9/SQRT(SUMPRODUCT('2. Konversi ke Nilai'!$C$4:$C$23,'2. Konversi ke Nilai'!$C$4:$C$23))</f>
        <v/>
      </c>
      <c r="C10" s="10">
        <f>'2. Konversi ke Nilai'!D9/SQRT(SUMPRODUCT('2. Konversi ke Nilai'!$D$4:$D$23,'2. Konversi ke Nilai'!$D$4:$D$23))</f>
        <v/>
      </c>
      <c r="D10" s="10">
        <f>'2. Konversi ke Nilai'!E9/SQRT(SUMPRODUCT('2. Konversi ke Nilai'!$E$4:$E$23,'2. Konversi ke Nilai'!$E$4:$E$23))</f>
        <v/>
      </c>
      <c r="E10" s="10">
        <f>'2. Konversi ke Nilai'!F9/SQRT(SUMPRODUCT('2. Konversi ke Nilai'!$F$4:$F$23,'2. Konversi ke Nilai'!$F$4:$F$23))</f>
        <v/>
      </c>
    </row>
    <row r="11" ht="15" customHeight="1" s="11">
      <c r="A11" s="10" t="inlineStr">
        <is>
          <t>A7</t>
        </is>
      </c>
      <c r="B11" s="10">
        <f>'2. Konversi ke Nilai'!C10/SQRT(SUMPRODUCT('2. Konversi ke Nilai'!$C$4:$C$23,'2. Konversi ke Nilai'!$C$4:$C$23))</f>
        <v/>
      </c>
      <c r="C11" s="10">
        <f>'2. Konversi ke Nilai'!D10/SQRT(SUMPRODUCT('2. Konversi ke Nilai'!$D$4:$D$23,'2. Konversi ke Nilai'!$D$4:$D$23))</f>
        <v/>
      </c>
      <c r="D11" s="10">
        <f>'2. Konversi ke Nilai'!E10/SQRT(SUMPRODUCT('2. Konversi ke Nilai'!$E$4:$E$23,'2. Konversi ke Nilai'!$E$4:$E$23))</f>
        <v/>
      </c>
      <c r="E11" s="10">
        <f>'2. Konversi ke Nilai'!F10/SQRT(SUMPRODUCT('2. Konversi ke Nilai'!$F$4:$F$23,'2. Konversi ke Nilai'!$F$4:$F$23))</f>
        <v/>
      </c>
    </row>
    <row r="12" ht="15" customHeight="1" s="11">
      <c r="A12" s="10" t="inlineStr">
        <is>
          <t>A8</t>
        </is>
      </c>
      <c r="B12" s="10">
        <f>'2. Konversi ke Nilai'!C11/SQRT(SUMPRODUCT('2. Konversi ke Nilai'!$C$4:$C$23,'2. Konversi ke Nilai'!$C$4:$C$23))</f>
        <v/>
      </c>
      <c r="C12" s="10">
        <f>'2. Konversi ke Nilai'!D11/SQRT(SUMPRODUCT('2. Konversi ke Nilai'!$D$4:$D$23,'2. Konversi ke Nilai'!$D$4:$D$23))</f>
        <v/>
      </c>
      <c r="D12" s="10">
        <f>'2. Konversi ke Nilai'!E11/SQRT(SUMPRODUCT('2. Konversi ke Nilai'!$E$4:$E$23,'2. Konversi ke Nilai'!$E$4:$E$23))</f>
        <v/>
      </c>
      <c r="E12" s="10">
        <f>'2. Konversi ke Nilai'!F11/SQRT(SUMPRODUCT('2. Konversi ke Nilai'!$F$4:$F$23,'2. Konversi ke Nilai'!$F$4:$F$23))</f>
        <v/>
      </c>
    </row>
    <row r="13" ht="15" customHeight="1" s="11">
      <c r="A13" s="10" t="inlineStr">
        <is>
          <t>A9</t>
        </is>
      </c>
      <c r="B13" s="10">
        <f>'2. Konversi ke Nilai'!C12/SQRT(SUMPRODUCT('2. Konversi ke Nilai'!$C$4:$C$23,'2. Konversi ke Nilai'!$C$4:$C$23))</f>
        <v/>
      </c>
      <c r="C13" s="10">
        <f>'2. Konversi ke Nilai'!D12/SQRT(SUMPRODUCT('2. Konversi ke Nilai'!$D$4:$D$23,'2. Konversi ke Nilai'!$D$4:$D$23))</f>
        <v/>
      </c>
      <c r="D13" s="10">
        <f>'2. Konversi ke Nilai'!E12/SQRT(SUMPRODUCT('2. Konversi ke Nilai'!$E$4:$E$23,'2. Konversi ke Nilai'!$E$4:$E$23))</f>
        <v/>
      </c>
      <c r="E13" s="10">
        <f>'2. Konversi ke Nilai'!F12/SQRT(SUMPRODUCT('2. Konversi ke Nilai'!$F$4:$F$23,'2. Konversi ke Nilai'!$F$4:$F$23))</f>
        <v/>
      </c>
    </row>
    <row r="14" ht="15" customHeight="1" s="11">
      <c r="A14" s="10" t="inlineStr">
        <is>
          <t>A10</t>
        </is>
      </c>
      <c r="B14" s="10">
        <f>'2. Konversi ke Nilai'!C13/SQRT(SUMPRODUCT('2. Konversi ke Nilai'!$C$4:$C$23,'2. Konversi ke Nilai'!$C$4:$C$23))</f>
        <v/>
      </c>
      <c r="C14" s="10">
        <f>'2. Konversi ke Nilai'!D13/SQRT(SUMPRODUCT('2. Konversi ke Nilai'!$D$4:$D$23,'2. Konversi ke Nilai'!$D$4:$D$23))</f>
        <v/>
      </c>
      <c r="D14" s="10">
        <f>'2. Konversi ke Nilai'!E13/SQRT(SUMPRODUCT('2. Konversi ke Nilai'!$E$4:$E$23,'2. Konversi ke Nilai'!$E$4:$E$23))</f>
        <v/>
      </c>
      <c r="E14" s="10">
        <f>'2. Konversi ke Nilai'!F13/SQRT(SUMPRODUCT('2. Konversi ke Nilai'!$F$4:$F$23,'2. Konversi ke Nilai'!$F$4:$F$23))</f>
        <v/>
      </c>
    </row>
    <row r="15" ht="15" customHeight="1" s="11">
      <c r="A15" s="10" t="inlineStr">
        <is>
          <t>A11</t>
        </is>
      </c>
      <c r="B15" s="10">
        <f>'2. Konversi ke Nilai'!C14/SQRT(SUMPRODUCT('2. Konversi ke Nilai'!$C$4:$C$23,'2. Konversi ke Nilai'!$C$4:$C$23))</f>
        <v/>
      </c>
      <c r="C15" s="10">
        <f>'2. Konversi ke Nilai'!D14/SQRT(SUMPRODUCT('2. Konversi ke Nilai'!$D$4:$D$23,'2. Konversi ke Nilai'!$D$4:$D$23))</f>
        <v/>
      </c>
      <c r="D15" s="10">
        <f>'2. Konversi ke Nilai'!E14/SQRT(SUMPRODUCT('2. Konversi ke Nilai'!$E$4:$E$23,'2. Konversi ke Nilai'!$E$4:$E$23))</f>
        <v/>
      </c>
      <c r="E15" s="10">
        <f>'2. Konversi ke Nilai'!F14/SQRT(SUMPRODUCT('2. Konversi ke Nilai'!$F$4:$F$23,'2. Konversi ke Nilai'!$F$4:$F$23))</f>
        <v/>
      </c>
    </row>
    <row r="16" ht="15" customHeight="1" s="11">
      <c r="A16" s="10" t="inlineStr">
        <is>
          <t>A12</t>
        </is>
      </c>
      <c r="B16" s="10">
        <f>'2. Konversi ke Nilai'!C15/SQRT(SUMPRODUCT('2. Konversi ke Nilai'!$C$4:$C$23,'2. Konversi ke Nilai'!$C$4:$C$23))</f>
        <v/>
      </c>
      <c r="C16" s="10">
        <f>'2. Konversi ke Nilai'!D15/SQRT(SUMPRODUCT('2. Konversi ke Nilai'!$D$4:$D$23,'2. Konversi ke Nilai'!$D$4:$D$23))</f>
        <v/>
      </c>
      <c r="D16" s="10">
        <f>'2. Konversi ke Nilai'!E15/SQRT(SUMPRODUCT('2. Konversi ke Nilai'!$E$4:$E$23,'2. Konversi ke Nilai'!$E$4:$E$23))</f>
        <v/>
      </c>
      <c r="E16" s="10">
        <f>'2. Konversi ke Nilai'!F15/SQRT(SUMPRODUCT('2. Konversi ke Nilai'!$F$4:$F$23,'2. Konversi ke Nilai'!$F$4:$F$23))</f>
        <v/>
      </c>
    </row>
    <row r="17" ht="15" customHeight="1" s="11">
      <c r="A17" s="10" t="inlineStr">
        <is>
          <t>A13</t>
        </is>
      </c>
      <c r="B17" s="10">
        <f>'2. Konversi ke Nilai'!C16/SQRT(SUMPRODUCT('2. Konversi ke Nilai'!$C$4:$C$23,'2. Konversi ke Nilai'!$C$4:$C$23))</f>
        <v/>
      </c>
      <c r="C17" s="10">
        <f>'2. Konversi ke Nilai'!D16/SQRT(SUMPRODUCT('2. Konversi ke Nilai'!$D$4:$D$23,'2. Konversi ke Nilai'!$D$4:$D$23))</f>
        <v/>
      </c>
      <c r="D17" s="10">
        <f>'2. Konversi ke Nilai'!E16/SQRT(SUMPRODUCT('2. Konversi ke Nilai'!$E$4:$E$23,'2. Konversi ke Nilai'!$E$4:$E$23))</f>
        <v/>
      </c>
      <c r="E17" s="10">
        <f>'2. Konversi ke Nilai'!F16/SQRT(SUMPRODUCT('2. Konversi ke Nilai'!$F$4:$F$23,'2. Konversi ke Nilai'!$F$4:$F$23))</f>
        <v/>
      </c>
    </row>
    <row r="18" ht="15" customHeight="1" s="11">
      <c r="A18" s="10" t="inlineStr">
        <is>
          <t>A14</t>
        </is>
      </c>
      <c r="B18" s="10">
        <f>'2. Konversi ke Nilai'!C17/SQRT(SUMPRODUCT('2. Konversi ke Nilai'!$C$4:$C$23,'2. Konversi ke Nilai'!$C$4:$C$23))</f>
        <v/>
      </c>
      <c r="C18" s="10">
        <f>'2. Konversi ke Nilai'!D17/SQRT(SUMPRODUCT('2. Konversi ke Nilai'!$D$4:$D$23,'2. Konversi ke Nilai'!$D$4:$D$23))</f>
        <v/>
      </c>
      <c r="D18" s="10">
        <f>'2. Konversi ke Nilai'!E17/SQRT(SUMPRODUCT('2. Konversi ke Nilai'!$E$4:$E$23,'2. Konversi ke Nilai'!$E$4:$E$23))</f>
        <v/>
      </c>
      <c r="E18" s="10">
        <f>'2. Konversi ke Nilai'!F17/SQRT(SUMPRODUCT('2. Konversi ke Nilai'!$F$4:$F$23,'2. Konversi ke Nilai'!$F$4:$F$23))</f>
        <v/>
      </c>
    </row>
    <row r="19" ht="15" customHeight="1" s="11">
      <c r="A19" s="10" t="inlineStr">
        <is>
          <t>A15</t>
        </is>
      </c>
      <c r="B19" s="10">
        <f>'2. Konversi ke Nilai'!C18/SQRT(SUMPRODUCT('2. Konversi ke Nilai'!$C$4:$C$23,'2. Konversi ke Nilai'!$C$4:$C$23))</f>
        <v/>
      </c>
      <c r="C19" s="10">
        <f>'2. Konversi ke Nilai'!D18/SQRT(SUMPRODUCT('2. Konversi ke Nilai'!$D$4:$D$23,'2. Konversi ke Nilai'!$D$4:$D$23))</f>
        <v/>
      </c>
      <c r="D19" s="10">
        <f>'2. Konversi ke Nilai'!E18/SQRT(SUMPRODUCT('2. Konversi ke Nilai'!$E$4:$E$23,'2. Konversi ke Nilai'!$E$4:$E$23))</f>
        <v/>
      </c>
      <c r="E19" s="10">
        <f>'2. Konversi ke Nilai'!F18/SQRT(SUMPRODUCT('2. Konversi ke Nilai'!$F$4:$F$23,'2. Konversi ke Nilai'!$F$4:$F$23))</f>
        <v/>
      </c>
    </row>
    <row r="20" ht="15" customHeight="1" s="11">
      <c r="A20" s="10" t="inlineStr">
        <is>
          <t>A16</t>
        </is>
      </c>
      <c r="B20" s="10">
        <f>'2. Konversi ke Nilai'!C19/SQRT(SUMPRODUCT('2. Konversi ke Nilai'!$C$4:$C$23,'2. Konversi ke Nilai'!$C$4:$C$23))</f>
        <v/>
      </c>
      <c r="C20" s="10">
        <f>'2. Konversi ke Nilai'!D19/SQRT(SUMPRODUCT('2. Konversi ke Nilai'!$D$4:$D$23,'2. Konversi ke Nilai'!$D$4:$D$23))</f>
        <v/>
      </c>
      <c r="D20" s="10">
        <f>'2. Konversi ke Nilai'!E19/SQRT(SUMPRODUCT('2. Konversi ke Nilai'!$E$4:$E$23,'2. Konversi ke Nilai'!$E$4:$E$23))</f>
        <v/>
      </c>
      <c r="E20" s="10">
        <f>'2. Konversi ke Nilai'!F19/SQRT(SUMPRODUCT('2. Konversi ke Nilai'!$F$4:$F$23,'2. Konversi ke Nilai'!$F$4:$F$23))</f>
        <v/>
      </c>
    </row>
    <row r="21" ht="15" customHeight="1" s="11">
      <c r="A21" s="10" t="inlineStr">
        <is>
          <t>A17</t>
        </is>
      </c>
      <c r="B21" s="10">
        <f>'2. Konversi ke Nilai'!C20/SQRT(SUMPRODUCT('2. Konversi ke Nilai'!$C$4:$C$23,'2. Konversi ke Nilai'!$C$4:$C$23))</f>
        <v/>
      </c>
      <c r="C21" s="10">
        <f>'2. Konversi ke Nilai'!D20/SQRT(SUMPRODUCT('2. Konversi ke Nilai'!$D$4:$D$23,'2. Konversi ke Nilai'!$D$4:$D$23))</f>
        <v/>
      </c>
      <c r="D21" s="10">
        <f>'2. Konversi ke Nilai'!E20/SQRT(SUMPRODUCT('2. Konversi ke Nilai'!$E$4:$E$23,'2. Konversi ke Nilai'!$E$4:$E$23))</f>
        <v/>
      </c>
      <c r="E21" s="10">
        <f>'2. Konversi ke Nilai'!F20/SQRT(SUMPRODUCT('2. Konversi ke Nilai'!$F$4:$F$23,'2. Konversi ke Nilai'!$F$4:$F$23))</f>
        <v/>
      </c>
    </row>
    <row r="22" ht="15" customHeight="1" s="11">
      <c r="A22" s="10" t="inlineStr">
        <is>
          <t>A18</t>
        </is>
      </c>
      <c r="B22" s="10">
        <f>'2. Konversi ke Nilai'!C21/SQRT(SUMPRODUCT('2. Konversi ke Nilai'!$C$4:$C$23,'2. Konversi ke Nilai'!$C$4:$C$23))</f>
        <v/>
      </c>
      <c r="C22" s="10">
        <f>'2. Konversi ke Nilai'!D21/SQRT(SUMPRODUCT('2. Konversi ke Nilai'!$D$4:$D$23,'2. Konversi ke Nilai'!$D$4:$D$23))</f>
        <v/>
      </c>
      <c r="D22" s="10">
        <f>'2. Konversi ke Nilai'!E21/SQRT(SUMPRODUCT('2. Konversi ke Nilai'!$E$4:$E$23,'2. Konversi ke Nilai'!$E$4:$E$23))</f>
        <v/>
      </c>
      <c r="E22" s="10">
        <f>'2. Konversi ke Nilai'!F21/SQRT(SUMPRODUCT('2. Konversi ke Nilai'!$F$4:$F$23,'2. Konversi ke Nilai'!$F$4:$F$23))</f>
        <v/>
      </c>
    </row>
    <row r="23" ht="15" customHeight="1" s="11">
      <c r="A23" s="10" t="inlineStr">
        <is>
          <t>A19</t>
        </is>
      </c>
      <c r="B23" s="10">
        <f>'2. Konversi ke Nilai'!C22/SQRT(SUMPRODUCT('2. Konversi ke Nilai'!$C$4:$C$23,'2. Konversi ke Nilai'!$C$4:$C$23))</f>
        <v/>
      </c>
      <c r="C23" s="10">
        <f>'2. Konversi ke Nilai'!D22/SQRT(SUMPRODUCT('2. Konversi ke Nilai'!$D$4:$D$23,'2. Konversi ke Nilai'!$D$4:$D$23))</f>
        <v/>
      </c>
      <c r="D23" s="10">
        <f>'2. Konversi ke Nilai'!E22/SQRT(SUMPRODUCT('2. Konversi ke Nilai'!$E$4:$E$23,'2. Konversi ke Nilai'!$E$4:$E$23))</f>
        <v/>
      </c>
      <c r="E23" s="10">
        <f>'2. Konversi ke Nilai'!F22/SQRT(SUMPRODUCT('2. Konversi ke Nilai'!$F$4:$F$23,'2. Konversi ke Nilai'!$F$4:$F$23))</f>
        <v/>
      </c>
    </row>
    <row r="24" ht="15" customHeight="1" s="11">
      <c r="A24" s="10" t="inlineStr">
        <is>
          <t>A20</t>
        </is>
      </c>
      <c r="B24" s="10">
        <f>'2. Konversi ke Nilai'!C23/SQRT(SUMPRODUCT('2. Konversi ke Nilai'!$C$4:$C$23,'2. Konversi ke Nilai'!$C$4:$C$23))</f>
        <v/>
      </c>
      <c r="C24" s="10">
        <f>'2. Konversi ke Nilai'!D23/SQRT(SUMPRODUCT('2. Konversi ke Nilai'!$D$4:$D$23,'2. Konversi ke Nilai'!$D$4:$D$23))</f>
        <v/>
      </c>
      <c r="D24" s="10">
        <f>'2. Konversi ke Nilai'!E23/SQRT(SUMPRODUCT('2. Konversi ke Nilai'!$E$4:$E$23,'2. Konversi ke Nilai'!$E$4:$E$23))</f>
        <v/>
      </c>
      <c r="E24" s="10">
        <f>'2. Konversi ke Nilai'!F23/SQRT(SUMPRODUCT('2. Konversi ke Nilai'!$F$4:$F$23,'2. Konversi ke Nilai'!$F$4:$F$23))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7" customWidth="1" style="10" min="1" max="1"/>
    <col width="50" customWidth="1" style="10" min="2" max="5"/>
  </cols>
  <sheetData>
    <row r="1" ht="17.35" customHeight="1" s="11">
      <c r="A1" s="16" t="inlineStr">
        <is>
          <t>MATRIKS TERNORMALISASI TERBOBOT (Y)</t>
        </is>
      </c>
    </row>
    <row r="2" ht="15" customHeight="1" s="11">
      <c r="A2" s="20" t="inlineStr">
        <is>
          <t>Rumus: yij = wj × rij</t>
        </is>
      </c>
    </row>
    <row r="4" ht="15" customHeight="1" s="11">
      <c r="A4" s="17" t="inlineStr">
        <is>
          <t>Alternatif</t>
        </is>
      </c>
      <c r="B4" s="17" t="inlineStr">
        <is>
          <t>CPU (C1)</t>
        </is>
      </c>
      <c r="C4" s="17" t="inlineStr">
        <is>
          <t>RAM (C2)</t>
        </is>
      </c>
      <c r="D4" s="17" t="inlineStr">
        <is>
          <t>Disk I/O (C3)</t>
        </is>
      </c>
      <c r="E4" s="17" t="inlineStr">
        <is>
          <t>Harga (C4)</t>
        </is>
      </c>
    </row>
    <row r="5" ht="15" customHeight="1" s="11">
      <c r="A5" s="10" t="inlineStr">
        <is>
          <t>A1</t>
        </is>
      </c>
      <c r="B5" s="10">
        <f>'4. Normalisasi'!B5*'3. Bobot &amp; Kriteria'!$B$5</f>
        <v/>
      </c>
      <c r="C5" s="10">
        <f>'4. Normalisasi'!C5*'3. Bobot &amp; Kriteria'!$C$5</f>
        <v/>
      </c>
      <c r="D5" s="10">
        <f>'4. Normalisasi'!D5*'3. Bobot &amp; Kriteria'!$D$5</f>
        <v/>
      </c>
      <c r="E5" s="10">
        <f>'4. Normalisasi'!E5*'3. Bobot &amp; Kriteria'!$E$5</f>
        <v/>
      </c>
    </row>
    <row r="6" ht="15" customHeight="1" s="11">
      <c r="A6" s="10" t="inlineStr">
        <is>
          <t>A2</t>
        </is>
      </c>
      <c r="B6" s="10">
        <f>'4. Normalisasi'!B6*'3. Bobot &amp; Kriteria'!$B$5</f>
        <v/>
      </c>
      <c r="C6" s="10">
        <f>'4. Normalisasi'!C6*'3. Bobot &amp; Kriteria'!$C$5</f>
        <v/>
      </c>
      <c r="D6" s="10">
        <f>'4. Normalisasi'!D6*'3. Bobot &amp; Kriteria'!$D$5</f>
        <v/>
      </c>
      <c r="E6" s="10">
        <f>'4. Normalisasi'!E6*'3. Bobot &amp; Kriteria'!$E$5</f>
        <v/>
      </c>
    </row>
    <row r="7" ht="15" customHeight="1" s="11">
      <c r="A7" s="10" t="inlineStr">
        <is>
          <t>A3</t>
        </is>
      </c>
      <c r="B7" s="10">
        <f>'4. Normalisasi'!B7*'3. Bobot &amp; Kriteria'!$B$5</f>
        <v/>
      </c>
      <c r="C7" s="10">
        <f>'4. Normalisasi'!C7*'3. Bobot &amp; Kriteria'!$C$5</f>
        <v/>
      </c>
      <c r="D7" s="10">
        <f>'4. Normalisasi'!D7*'3. Bobot &amp; Kriteria'!$D$5</f>
        <v/>
      </c>
      <c r="E7" s="10">
        <f>'4. Normalisasi'!E7*'3. Bobot &amp; Kriteria'!$E$5</f>
        <v/>
      </c>
    </row>
    <row r="8" ht="15" customHeight="1" s="11">
      <c r="A8" s="10" t="inlineStr">
        <is>
          <t>A4</t>
        </is>
      </c>
      <c r="B8" s="10">
        <f>'4. Normalisasi'!B8*'3. Bobot &amp; Kriteria'!$B$5</f>
        <v/>
      </c>
      <c r="C8" s="10">
        <f>'4. Normalisasi'!C8*'3. Bobot &amp; Kriteria'!$C$5</f>
        <v/>
      </c>
      <c r="D8" s="10">
        <f>'4. Normalisasi'!D8*'3. Bobot &amp; Kriteria'!$D$5</f>
        <v/>
      </c>
      <c r="E8" s="10">
        <f>'4. Normalisasi'!E8*'3. Bobot &amp; Kriteria'!$E$5</f>
        <v/>
      </c>
    </row>
    <row r="9" ht="15" customHeight="1" s="11">
      <c r="A9" s="10" t="inlineStr">
        <is>
          <t>A5</t>
        </is>
      </c>
      <c r="B9" s="10">
        <f>'4. Normalisasi'!B9*'3. Bobot &amp; Kriteria'!$B$5</f>
        <v/>
      </c>
      <c r="C9" s="10">
        <f>'4. Normalisasi'!C9*'3. Bobot &amp; Kriteria'!$C$5</f>
        <v/>
      </c>
      <c r="D9" s="10">
        <f>'4. Normalisasi'!D9*'3. Bobot &amp; Kriteria'!$D$5</f>
        <v/>
      </c>
      <c r="E9" s="10">
        <f>'4. Normalisasi'!E9*'3. Bobot &amp; Kriteria'!$E$5</f>
        <v/>
      </c>
    </row>
    <row r="10" ht="15" customHeight="1" s="11">
      <c r="A10" s="10" t="inlineStr">
        <is>
          <t>A6</t>
        </is>
      </c>
      <c r="B10" s="10">
        <f>'4. Normalisasi'!B10*'3. Bobot &amp; Kriteria'!$B$5</f>
        <v/>
      </c>
      <c r="C10" s="10">
        <f>'4. Normalisasi'!C10*'3. Bobot &amp; Kriteria'!$C$5</f>
        <v/>
      </c>
      <c r="D10" s="10">
        <f>'4. Normalisasi'!D10*'3. Bobot &amp; Kriteria'!$D$5</f>
        <v/>
      </c>
      <c r="E10" s="10">
        <f>'4. Normalisasi'!E10*'3. Bobot &amp; Kriteria'!$E$5</f>
        <v/>
      </c>
    </row>
    <row r="11" ht="15" customHeight="1" s="11">
      <c r="A11" s="10" t="inlineStr">
        <is>
          <t>A7</t>
        </is>
      </c>
      <c r="B11" s="10">
        <f>'4. Normalisasi'!B11*'3. Bobot &amp; Kriteria'!$B$5</f>
        <v/>
      </c>
      <c r="C11" s="10">
        <f>'4. Normalisasi'!C11*'3. Bobot &amp; Kriteria'!$C$5</f>
        <v/>
      </c>
      <c r="D11" s="10">
        <f>'4. Normalisasi'!D11*'3. Bobot &amp; Kriteria'!$D$5</f>
        <v/>
      </c>
      <c r="E11" s="10">
        <f>'4. Normalisasi'!E11*'3. Bobot &amp; Kriteria'!$E$5</f>
        <v/>
      </c>
    </row>
    <row r="12" ht="15" customHeight="1" s="11">
      <c r="A12" s="10" t="inlineStr">
        <is>
          <t>A8</t>
        </is>
      </c>
      <c r="B12" s="10">
        <f>'4. Normalisasi'!B12*'3. Bobot &amp; Kriteria'!$B$5</f>
        <v/>
      </c>
      <c r="C12" s="10">
        <f>'4. Normalisasi'!C12*'3. Bobot &amp; Kriteria'!$C$5</f>
        <v/>
      </c>
      <c r="D12" s="10">
        <f>'4. Normalisasi'!D12*'3. Bobot &amp; Kriteria'!$D$5</f>
        <v/>
      </c>
      <c r="E12" s="10">
        <f>'4. Normalisasi'!E12*'3. Bobot &amp; Kriteria'!$E$5</f>
        <v/>
      </c>
    </row>
    <row r="13" ht="15" customHeight="1" s="11">
      <c r="A13" s="10" t="inlineStr">
        <is>
          <t>A9</t>
        </is>
      </c>
      <c r="B13" s="10">
        <f>'4. Normalisasi'!B13*'3. Bobot &amp; Kriteria'!$B$5</f>
        <v/>
      </c>
      <c r="C13" s="10">
        <f>'4. Normalisasi'!C13*'3. Bobot &amp; Kriteria'!$C$5</f>
        <v/>
      </c>
      <c r="D13" s="10">
        <f>'4. Normalisasi'!D13*'3. Bobot &amp; Kriteria'!$D$5</f>
        <v/>
      </c>
      <c r="E13" s="10">
        <f>'4. Normalisasi'!E13*'3. Bobot &amp; Kriteria'!$E$5</f>
        <v/>
      </c>
    </row>
    <row r="14" ht="15" customHeight="1" s="11">
      <c r="A14" s="10" t="inlineStr">
        <is>
          <t>A10</t>
        </is>
      </c>
      <c r="B14" s="10">
        <f>'4. Normalisasi'!B14*'3. Bobot &amp; Kriteria'!$B$5</f>
        <v/>
      </c>
      <c r="C14" s="10">
        <f>'4. Normalisasi'!C14*'3. Bobot &amp; Kriteria'!$C$5</f>
        <v/>
      </c>
      <c r="D14" s="10">
        <f>'4. Normalisasi'!D14*'3. Bobot &amp; Kriteria'!$D$5</f>
        <v/>
      </c>
      <c r="E14" s="10">
        <f>'4. Normalisasi'!E14*'3. Bobot &amp; Kriteria'!$E$5</f>
        <v/>
      </c>
    </row>
    <row r="15" ht="15" customHeight="1" s="11">
      <c r="A15" s="10" t="inlineStr">
        <is>
          <t>A11</t>
        </is>
      </c>
      <c r="B15" s="10">
        <f>'4. Normalisasi'!B15*'3. Bobot &amp; Kriteria'!$B$5</f>
        <v/>
      </c>
      <c r="C15" s="10">
        <f>'4. Normalisasi'!C15*'3. Bobot &amp; Kriteria'!$C$5</f>
        <v/>
      </c>
      <c r="D15" s="10">
        <f>'4. Normalisasi'!D15*'3. Bobot &amp; Kriteria'!$D$5</f>
        <v/>
      </c>
      <c r="E15" s="10">
        <f>'4. Normalisasi'!E15*'3. Bobot &amp; Kriteria'!$E$5</f>
        <v/>
      </c>
    </row>
    <row r="16" ht="15" customHeight="1" s="11">
      <c r="A16" s="10" t="inlineStr">
        <is>
          <t>A12</t>
        </is>
      </c>
      <c r="B16" s="10">
        <f>'4. Normalisasi'!B16*'3. Bobot &amp; Kriteria'!$B$5</f>
        <v/>
      </c>
      <c r="C16" s="10">
        <f>'4. Normalisasi'!C16*'3. Bobot &amp; Kriteria'!$C$5</f>
        <v/>
      </c>
      <c r="D16" s="10">
        <f>'4. Normalisasi'!D16*'3. Bobot &amp; Kriteria'!$D$5</f>
        <v/>
      </c>
      <c r="E16" s="10">
        <f>'4. Normalisasi'!E16*'3. Bobot &amp; Kriteria'!$E$5</f>
        <v/>
      </c>
    </row>
    <row r="17" ht="15" customHeight="1" s="11">
      <c r="A17" s="10" t="inlineStr">
        <is>
          <t>A13</t>
        </is>
      </c>
      <c r="B17" s="10">
        <f>'4. Normalisasi'!B17*'3. Bobot &amp; Kriteria'!$B$5</f>
        <v/>
      </c>
      <c r="C17" s="10">
        <f>'4. Normalisasi'!C17*'3. Bobot &amp; Kriteria'!$C$5</f>
        <v/>
      </c>
      <c r="D17" s="10">
        <f>'4. Normalisasi'!D17*'3. Bobot &amp; Kriteria'!$D$5</f>
        <v/>
      </c>
      <c r="E17" s="10">
        <f>'4. Normalisasi'!E17*'3. Bobot &amp; Kriteria'!$E$5</f>
        <v/>
      </c>
    </row>
    <row r="18" ht="15" customHeight="1" s="11">
      <c r="A18" s="10" t="inlineStr">
        <is>
          <t>A14</t>
        </is>
      </c>
      <c r="B18" s="10">
        <f>'4. Normalisasi'!B18*'3. Bobot &amp; Kriteria'!$B$5</f>
        <v/>
      </c>
      <c r="C18" s="10">
        <f>'4. Normalisasi'!C18*'3. Bobot &amp; Kriteria'!$C$5</f>
        <v/>
      </c>
      <c r="D18" s="10">
        <f>'4. Normalisasi'!D18*'3. Bobot &amp; Kriteria'!$D$5</f>
        <v/>
      </c>
      <c r="E18" s="10">
        <f>'4. Normalisasi'!E18*'3. Bobot &amp; Kriteria'!$E$5</f>
        <v/>
      </c>
    </row>
    <row r="19" ht="15" customHeight="1" s="11">
      <c r="A19" s="10" t="inlineStr">
        <is>
          <t>A15</t>
        </is>
      </c>
      <c r="B19" s="10">
        <f>'4. Normalisasi'!B19*'3. Bobot &amp; Kriteria'!$B$5</f>
        <v/>
      </c>
      <c r="C19" s="10">
        <f>'4. Normalisasi'!C19*'3. Bobot &amp; Kriteria'!$C$5</f>
        <v/>
      </c>
      <c r="D19" s="10">
        <f>'4. Normalisasi'!D19*'3. Bobot &amp; Kriteria'!$D$5</f>
        <v/>
      </c>
      <c r="E19" s="10">
        <f>'4. Normalisasi'!E19*'3. Bobot &amp; Kriteria'!$E$5</f>
        <v/>
      </c>
    </row>
    <row r="20" ht="15" customHeight="1" s="11">
      <c r="A20" s="10" t="inlineStr">
        <is>
          <t>A16</t>
        </is>
      </c>
      <c r="B20" s="10">
        <f>'4. Normalisasi'!B20*'3. Bobot &amp; Kriteria'!$B$5</f>
        <v/>
      </c>
      <c r="C20" s="10">
        <f>'4. Normalisasi'!C20*'3. Bobot &amp; Kriteria'!$C$5</f>
        <v/>
      </c>
      <c r="D20" s="10">
        <f>'4. Normalisasi'!D20*'3. Bobot &amp; Kriteria'!$D$5</f>
        <v/>
      </c>
      <c r="E20" s="10">
        <f>'4. Normalisasi'!E20*'3. Bobot &amp; Kriteria'!$E$5</f>
        <v/>
      </c>
    </row>
    <row r="21" ht="15" customHeight="1" s="11">
      <c r="A21" s="10" t="inlineStr">
        <is>
          <t>A17</t>
        </is>
      </c>
      <c r="B21" s="10">
        <f>'4. Normalisasi'!B21*'3. Bobot &amp; Kriteria'!$B$5</f>
        <v/>
      </c>
      <c r="C21" s="10">
        <f>'4. Normalisasi'!C21*'3. Bobot &amp; Kriteria'!$C$5</f>
        <v/>
      </c>
      <c r="D21" s="10">
        <f>'4. Normalisasi'!D21*'3. Bobot &amp; Kriteria'!$D$5</f>
        <v/>
      </c>
      <c r="E21" s="10">
        <f>'4. Normalisasi'!E21*'3. Bobot &amp; Kriteria'!$E$5</f>
        <v/>
      </c>
    </row>
    <row r="22" ht="15" customHeight="1" s="11">
      <c r="A22" s="10" t="inlineStr">
        <is>
          <t>A18</t>
        </is>
      </c>
      <c r="B22" s="10">
        <f>'4. Normalisasi'!B22*'3. Bobot &amp; Kriteria'!$B$5</f>
        <v/>
      </c>
      <c r="C22" s="10">
        <f>'4. Normalisasi'!C22*'3. Bobot &amp; Kriteria'!$C$5</f>
        <v/>
      </c>
      <c r="D22" s="10">
        <f>'4. Normalisasi'!D22*'3. Bobot &amp; Kriteria'!$D$5</f>
        <v/>
      </c>
      <c r="E22" s="10">
        <f>'4. Normalisasi'!E22*'3. Bobot &amp; Kriteria'!$E$5</f>
        <v/>
      </c>
    </row>
    <row r="23" ht="15" customHeight="1" s="11">
      <c r="A23" s="10" t="inlineStr">
        <is>
          <t>A19</t>
        </is>
      </c>
      <c r="B23" s="10">
        <f>'4. Normalisasi'!B23*'3. Bobot &amp; Kriteria'!$B$5</f>
        <v/>
      </c>
      <c r="C23" s="10">
        <f>'4. Normalisasi'!C23*'3. Bobot &amp; Kriteria'!$C$5</f>
        <v/>
      </c>
      <c r="D23" s="10">
        <f>'4. Normalisasi'!D23*'3. Bobot &amp; Kriteria'!$D$5</f>
        <v/>
      </c>
      <c r="E23" s="10">
        <f>'4. Normalisasi'!E23*'3. Bobot &amp; Kriteria'!$E$5</f>
        <v/>
      </c>
    </row>
    <row r="24" ht="15" customHeight="1" s="11">
      <c r="A24" s="10" t="inlineStr">
        <is>
          <t>A20</t>
        </is>
      </c>
      <c r="B24" s="10">
        <f>'4. Normalisasi'!B24*'3. Bobot &amp; Kriteria'!$B$5</f>
        <v/>
      </c>
      <c r="C24" s="10">
        <f>'4. Normalisasi'!C24*'3. Bobot &amp; Kriteria'!$C$5</f>
        <v/>
      </c>
      <c r="D24" s="10">
        <f>'4. Normalisasi'!D24*'3. Bobot &amp; Kriteria'!$D$5</f>
        <v/>
      </c>
      <c r="E24" s="10">
        <f>'4. Normalisasi'!E24*'3. Bobot &amp; Kriteria'!$E$5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0" min="1" max="1"/>
    <col width="40" customWidth="1" style="10" min="2" max="5"/>
  </cols>
  <sheetData>
    <row r="1" ht="17.35" customHeight="1" s="11">
      <c r="A1" s="16" t="inlineStr">
        <is>
          <t>SOLUSI IDEAL POSITIF (A+) DAN NEGATIF (A-)</t>
        </is>
      </c>
    </row>
    <row r="3" ht="15" customHeight="1" s="11">
      <c r="A3" s="17" t="inlineStr">
        <is>
          <t>Kriteria</t>
        </is>
      </c>
      <c r="B3" s="17" t="inlineStr">
        <is>
          <t>CPU (C1)</t>
        </is>
      </c>
      <c r="C3" s="17" t="inlineStr">
        <is>
          <t>RAM (C2)</t>
        </is>
      </c>
      <c r="D3" s="17" t="inlineStr">
        <is>
          <t>Disk I/O (C3)</t>
        </is>
      </c>
      <c r="E3" s="17" t="inlineStr">
        <is>
          <t>Harga (C4)</t>
        </is>
      </c>
    </row>
    <row r="4" ht="15" customHeight="1" s="11">
      <c r="A4" s="10" t="inlineStr">
        <is>
          <t>A+ (Ideal Positif)</t>
        </is>
      </c>
      <c r="B4" s="10">
        <f>MAX('5. Normalisasi Terbobot'!B5:B24)</f>
        <v/>
      </c>
      <c r="C4" s="10">
        <f>MAX('5. Normalisasi Terbobot'!C5:C24)</f>
        <v/>
      </c>
      <c r="D4" s="10">
        <f>MAX('5. Normalisasi Terbobot'!D5:D24)</f>
        <v/>
      </c>
      <c r="E4" s="10">
        <f>MIN('5. Normalisasi Terbobot'!E5:E24)</f>
        <v/>
      </c>
    </row>
    <row r="5" ht="15" customHeight="1" s="11">
      <c r="A5" s="10" t="inlineStr">
        <is>
          <t>A- (Ideal Negatif)</t>
        </is>
      </c>
      <c r="B5" s="10">
        <f>MIN('5. Normalisasi Terbobot'!B5:B24)</f>
        <v/>
      </c>
      <c r="C5" s="10">
        <f>MIN('5. Normalisasi Terbobot'!C5:C24)</f>
        <v/>
      </c>
      <c r="D5" s="10">
        <f>MIN('5. Normalisasi Terbobot'!D5:D24)</f>
        <v/>
      </c>
      <c r="E5" s="10">
        <f>MAX('5. Normalisasi Terbobot'!E5:E24)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3" activeCellId="0" sqref="A33"/>
    </sheetView>
  </sheetViews>
  <sheetFormatPr baseColWidth="8" defaultColWidth="8.6796875" defaultRowHeight="15" zeroHeight="0" outlineLevelRow="0"/>
  <cols>
    <col width="50" customWidth="1" style="10" min="1" max="1"/>
    <col width="23" customWidth="1" style="10" min="2" max="2"/>
    <col width="50" customWidth="1" style="10" min="3" max="4"/>
    <col width="28.23" customWidth="1" style="10" min="5" max="5"/>
    <col width="25" customWidth="1" style="10" min="6" max="6"/>
  </cols>
  <sheetData>
    <row r="1" ht="17.35" customHeight="1" s="11">
      <c r="A1" s="16" t="inlineStr">
        <is>
          <t>HASIL PERHITUNGAN TOPSIS</t>
        </is>
      </c>
    </row>
    <row r="3" ht="15" customHeight="1" s="11">
      <c r="A3" s="17" t="inlineStr">
        <is>
          <t>Alternatif</t>
        </is>
      </c>
      <c r="B3" s="17" t="inlineStr">
        <is>
          <t>Vendor</t>
        </is>
      </c>
      <c r="C3" s="17" t="inlineStr">
        <is>
          <t>D+ (Jarak ke A+)</t>
        </is>
      </c>
      <c r="D3" s="17" t="inlineStr">
        <is>
          <t>D- (Jarak ke A-)</t>
        </is>
      </c>
      <c r="E3" s="17" t="inlineStr">
        <is>
          <t>Score</t>
        </is>
      </c>
      <c r="F3" s="17" t="inlineStr">
        <is>
          <t>Rank</t>
        </is>
      </c>
    </row>
    <row r="4" ht="15" customHeight="1" s="11">
      <c r="A4" s="10" t="inlineStr">
        <is>
          <t>A1</t>
        </is>
      </c>
      <c r="B4" s="10">
        <f>'1. Input Level'!B4</f>
        <v/>
      </c>
      <c r="C4" s="10">
        <f>SQRT(SUMPRODUCT(('5. Normalisasi Terbobot'!B5:E5-'6. Solusi Ideal'!$B$4:$E$4)^2))</f>
        <v/>
      </c>
      <c r="D4" s="10">
        <f>SQRT(SUMPRODUCT(('5. Normalisasi Terbobot'!B5:E5-'6. Solusi Ideal'!$B$5:$E$5)^2))</f>
        <v/>
      </c>
      <c r="E4" s="10">
        <f>D4/(C4+D4)</f>
        <v/>
      </c>
      <c r="F4" s="10">
        <f>RANK(E4,$E$4:$E$23,0)</f>
        <v/>
      </c>
    </row>
    <row r="5" ht="15" customHeight="1" s="11">
      <c r="A5" s="10" t="inlineStr">
        <is>
          <t>A2</t>
        </is>
      </c>
      <c r="B5" s="10">
        <f>'1. Input Level'!B5</f>
        <v/>
      </c>
      <c r="C5" s="10">
        <f>SQRT(SUMPRODUCT(('5. Normalisasi Terbobot'!B6:E6-'6. Solusi Ideal'!$B$4:$E$4)^2))</f>
        <v/>
      </c>
      <c r="D5" s="10">
        <f>SQRT(SUMPRODUCT(('5. Normalisasi Terbobot'!B6:E6-'6. Solusi Ideal'!$B$5:$E$5)^2))</f>
        <v/>
      </c>
      <c r="E5" s="10">
        <f>D5/(C5+D5)</f>
        <v/>
      </c>
      <c r="F5" s="10">
        <f>RANK(E5,$E$4:$E$23,0)</f>
        <v/>
      </c>
    </row>
    <row r="6" ht="15" customHeight="1" s="11">
      <c r="A6" s="10" t="inlineStr">
        <is>
          <t>A3</t>
        </is>
      </c>
      <c r="B6" s="10">
        <f>'1. Input Level'!B6</f>
        <v/>
      </c>
      <c r="C6" s="10">
        <f>SQRT(SUMPRODUCT(('5. Normalisasi Terbobot'!B7:E7-'6. Solusi Ideal'!$B$4:$E$4)^2))</f>
        <v/>
      </c>
      <c r="D6" s="10">
        <f>SQRT(SUMPRODUCT(('5. Normalisasi Terbobot'!B7:E7-'6. Solusi Ideal'!$B$5:$E$5)^2))</f>
        <v/>
      </c>
      <c r="E6" s="10">
        <f>D6/(C6+D6)</f>
        <v/>
      </c>
      <c r="F6" s="10">
        <f>RANK(E6,$E$4:$E$23,0)</f>
        <v/>
      </c>
    </row>
    <row r="7" ht="15" customHeight="1" s="11">
      <c r="A7" s="10" t="inlineStr">
        <is>
          <t>A4</t>
        </is>
      </c>
      <c r="B7" s="10">
        <f>'1. Input Level'!B7</f>
        <v/>
      </c>
      <c r="C7" s="10">
        <f>SQRT(SUMPRODUCT(('5. Normalisasi Terbobot'!B8:E8-'6. Solusi Ideal'!$B$4:$E$4)^2))</f>
        <v/>
      </c>
      <c r="D7" s="10">
        <f>SQRT(SUMPRODUCT(('5. Normalisasi Terbobot'!B8:E8-'6. Solusi Ideal'!$B$5:$E$5)^2))</f>
        <v/>
      </c>
      <c r="E7" s="10">
        <f>D7/(C7+D7)</f>
        <v/>
      </c>
      <c r="F7" s="10">
        <f>RANK(E7,$E$4:$E$23,0)</f>
        <v/>
      </c>
    </row>
    <row r="8" ht="15" customHeight="1" s="11">
      <c r="A8" s="10" t="inlineStr">
        <is>
          <t>A5</t>
        </is>
      </c>
      <c r="B8" s="10">
        <f>'1. Input Level'!B8</f>
        <v/>
      </c>
      <c r="C8" s="10">
        <f>SQRT(SUMPRODUCT(('5. Normalisasi Terbobot'!B9:E9-'6. Solusi Ideal'!$B$4:$E$4)^2))</f>
        <v/>
      </c>
      <c r="D8" s="10">
        <f>SQRT(SUMPRODUCT(('5. Normalisasi Terbobot'!B9:E9-'6. Solusi Ideal'!$B$5:$E$5)^2))</f>
        <v/>
      </c>
      <c r="E8" s="10">
        <f>D8/(C8+D8)</f>
        <v/>
      </c>
      <c r="F8" s="10">
        <f>RANK(E8,$E$4:$E$23,0)</f>
        <v/>
      </c>
    </row>
    <row r="9" ht="15" customHeight="1" s="11">
      <c r="A9" s="10" t="inlineStr">
        <is>
          <t>A6</t>
        </is>
      </c>
      <c r="B9" s="10">
        <f>'1. Input Level'!B9</f>
        <v/>
      </c>
      <c r="C9" s="10">
        <f>SQRT(SUMPRODUCT(('5. Normalisasi Terbobot'!B10:E10-'6. Solusi Ideal'!$B$4:$E$4)^2))</f>
        <v/>
      </c>
      <c r="D9" s="10">
        <f>SQRT(SUMPRODUCT(('5. Normalisasi Terbobot'!B10:E10-'6. Solusi Ideal'!$B$5:$E$5)^2))</f>
        <v/>
      </c>
      <c r="E9" s="10">
        <f>D9/(C9+D9)</f>
        <v/>
      </c>
      <c r="F9" s="10">
        <f>RANK(E9,$E$4:$E$23,0)</f>
        <v/>
      </c>
    </row>
    <row r="10" ht="15" customHeight="1" s="11">
      <c r="A10" s="10" t="inlineStr">
        <is>
          <t>A7</t>
        </is>
      </c>
      <c r="B10" s="10">
        <f>'1. Input Level'!B10</f>
        <v/>
      </c>
      <c r="C10" s="10">
        <f>SQRT(SUMPRODUCT(('5. Normalisasi Terbobot'!B11:E11-'6. Solusi Ideal'!$B$4:$E$4)^2))</f>
        <v/>
      </c>
      <c r="D10" s="10">
        <f>SQRT(SUMPRODUCT(('5. Normalisasi Terbobot'!B11:E11-'6. Solusi Ideal'!$B$5:$E$5)^2))</f>
        <v/>
      </c>
      <c r="E10" s="10">
        <f>D10/(C10+D10)</f>
        <v/>
      </c>
      <c r="F10" s="10">
        <f>RANK(E10,$E$4:$E$23,0)</f>
        <v/>
      </c>
    </row>
    <row r="11" ht="15" customHeight="1" s="11">
      <c r="A11" s="10" t="inlineStr">
        <is>
          <t>A8</t>
        </is>
      </c>
      <c r="B11" s="10">
        <f>'1. Input Level'!B11</f>
        <v/>
      </c>
      <c r="C11" s="10">
        <f>SQRT(SUMPRODUCT(('5. Normalisasi Terbobot'!B12:E12-'6. Solusi Ideal'!$B$4:$E$4)^2))</f>
        <v/>
      </c>
      <c r="D11" s="10">
        <f>SQRT(SUMPRODUCT(('5. Normalisasi Terbobot'!B12:E12-'6. Solusi Ideal'!$B$5:$E$5)^2))</f>
        <v/>
      </c>
      <c r="E11" s="10">
        <f>D11/(C11+D11)</f>
        <v/>
      </c>
      <c r="F11" s="10">
        <f>RANK(E11,$E$4:$E$23,0)</f>
        <v/>
      </c>
    </row>
    <row r="12" ht="15" customHeight="1" s="11">
      <c r="A12" s="10" t="inlineStr">
        <is>
          <t>A9</t>
        </is>
      </c>
      <c r="B12" s="10">
        <f>'1. Input Level'!B12</f>
        <v/>
      </c>
      <c r="C12" s="10">
        <f>SQRT(SUMPRODUCT(('5. Normalisasi Terbobot'!B13:E13-'6. Solusi Ideal'!$B$4:$E$4)^2))</f>
        <v/>
      </c>
      <c r="D12" s="10">
        <f>SQRT(SUMPRODUCT(('5. Normalisasi Terbobot'!B13:E13-'6. Solusi Ideal'!$B$5:$E$5)^2))</f>
        <v/>
      </c>
      <c r="E12" s="10">
        <f>D12/(C12+D12)</f>
        <v/>
      </c>
      <c r="F12" s="10">
        <f>RANK(E12,$E$4:$E$23,0)</f>
        <v/>
      </c>
    </row>
    <row r="13" ht="15" customHeight="1" s="11">
      <c r="A13" s="10" t="inlineStr">
        <is>
          <t>A10</t>
        </is>
      </c>
      <c r="B13" s="10">
        <f>'1. Input Level'!B13</f>
        <v/>
      </c>
      <c r="C13" s="10">
        <f>SQRT(SUMPRODUCT(('5. Normalisasi Terbobot'!B14:E14-'6. Solusi Ideal'!$B$4:$E$4)^2))</f>
        <v/>
      </c>
      <c r="D13" s="10">
        <f>SQRT(SUMPRODUCT(('5. Normalisasi Terbobot'!B14:E14-'6. Solusi Ideal'!$B$5:$E$5)^2))</f>
        <v/>
      </c>
      <c r="E13" s="10">
        <f>D13/(C13+D13)</f>
        <v/>
      </c>
      <c r="F13" s="10">
        <f>RANK(E13,$E$4:$E$23,0)</f>
        <v/>
      </c>
    </row>
    <row r="14" ht="15" customHeight="1" s="11">
      <c r="A14" s="10" t="inlineStr">
        <is>
          <t>A11</t>
        </is>
      </c>
      <c r="B14" s="10">
        <f>'1. Input Level'!B14</f>
        <v/>
      </c>
      <c r="C14" s="10">
        <f>SQRT(SUMPRODUCT(('5. Normalisasi Terbobot'!B15:E15-'6. Solusi Ideal'!$B$4:$E$4)^2))</f>
        <v/>
      </c>
      <c r="D14" s="10">
        <f>SQRT(SUMPRODUCT(('5. Normalisasi Terbobot'!B15:E15-'6. Solusi Ideal'!$B$5:$E$5)^2))</f>
        <v/>
      </c>
      <c r="E14" s="10">
        <f>D14/(C14+D14)</f>
        <v/>
      </c>
      <c r="F14" s="10">
        <f>RANK(E14,$E$4:$E$23,0)</f>
        <v/>
      </c>
    </row>
    <row r="15" ht="15" customHeight="1" s="11">
      <c r="A15" s="10" t="inlineStr">
        <is>
          <t>A12</t>
        </is>
      </c>
      <c r="B15" s="10">
        <f>'1. Input Level'!B15</f>
        <v/>
      </c>
      <c r="C15" s="10">
        <f>SQRT(SUMPRODUCT(('5. Normalisasi Terbobot'!B16:E16-'6. Solusi Ideal'!$B$4:$E$4)^2))</f>
        <v/>
      </c>
      <c r="D15" s="10">
        <f>SQRT(SUMPRODUCT(('5. Normalisasi Terbobot'!B16:E16-'6. Solusi Ideal'!$B$5:$E$5)^2))</f>
        <v/>
      </c>
      <c r="E15" s="10">
        <f>D15/(C15+D15)</f>
        <v/>
      </c>
      <c r="F15" s="10">
        <f>RANK(E15,$E$4:$E$23,0)</f>
        <v/>
      </c>
    </row>
    <row r="16" ht="15" customHeight="1" s="11">
      <c r="A16" s="10" t="inlineStr">
        <is>
          <t>A13</t>
        </is>
      </c>
      <c r="B16" s="10">
        <f>'1. Input Level'!B16</f>
        <v/>
      </c>
      <c r="C16" s="10">
        <f>SQRT(SUMPRODUCT(('5. Normalisasi Terbobot'!B17:E17-'6. Solusi Ideal'!$B$4:$E$4)^2))</f>
        <v/>
      </c>
      <c r="D16" s="10">
        <f>SQRT(SUMPRODUCT(('5. Normalisasi Terbobot'!B17:E17-'6. Solusi Ideal'!$B$5:$E$5)^2))</f>
        <v/>
      </c>
      <c r="E16" s="10">
        <f>D16/(C16+D16)</f>
        <v/>
      </c>
      <c r="F16" s="10">
        <f>RANK(E16,$E$4:$E$23,0)</f>
        <v/>
      </c>
    </row>
    <row r="17" ht="15" customHeight="1" s="11">
      <c r="A17" s="10" t="inlineStr">
        <is>
          <t>A14</t>
        </is>
      </c>
      <c r="B17" s="10">
        <f>'1. Input Level'!B17</f>
        <v/>
      </c>
      <c r="C17" s="10">
        <f>SQRT(SUMPRODUCT(('5. Normalisasi Terbobot'!B18:E18-'6. Solusi Ideal'!$B$4:$E$4)^2))</f>
        <v/>
      </c>
      <c r="D17" s="10">
        <f>SQRT(SUMPRODUCT(('5. Normalisasi Terbobot'!B18:E18-'6. Solusi Ideal'!$B$5:$E$5)^2))</f>
        <v/>
      </c>
      <c r="E17" s="10">
        <f>D17/(C17+D17)</f>
        <v/>
      </c>
      <c r="F17" s="10">
        <f>RANK(E17,$E$4:$E$23,0)</f>
        <v/>
      </c>
    </row>
    <row r="18" ht="15" customHeight="1" s="11">
      <c r="A18" s="10" t="inlineStr">
        <is>
          <t>A15</t>
        </is>
      </c>
      <c r="B18" s="10">
        <f>'1. Input Level'!B18</f>
        <v/>
      </c>
      <c r="C18" s="10">
        <f>SQRT(SUMPRODUCT(('5. Normalisasi Terbobot'!B19:E19-'6. Solusi Ideal'!$B$4:$E$4)^2))</f>
        <v/>
      </c>
      <c r="D18" s="10">
        <f>SQRT(SUMPRODUCT(('5. Normalisasi Terbobot'!B19:E19-'6. Solusi Ideal'!$B$5:$E$5)^2))</f>
        <v/>
      </c>
      <c r="E18" s="10">
        <f>D18/(C18+D18)</f>
        <v/>
      </c>
      <c r="F18" s="10">
        <f>RANK(E18,$E$4:$E$23,0)</f>
        <v/>
      </c>
    </row>
    <row r="19" ht="15" customHeight="1" s="11">
      <c r="A19" s="10" t="inlineStr">
        <is>
          <t>A16</t>
        </is>
      </c>
      <c r="B19" s="10">
        <f>'1. Input Level'!B19</f>
        <v/>
      </c>
      <c r="C19" s="10">
        <f>SQRT(SUMPRODUCT(('5. Normalisasi Terbobot'!B20:E20-'6. Solusi Ideal'!$B$4:$E$4)^2))</f>
        <v/>
      </c>
      <c r="D19" s="10">
        <f>SQRT(SUMPRODUCT(('5. Normalisasi Terbobot'!B20:E20-'6. Solusi Ideal'!$B$5:$E$5)^2))</f>
        <v/>
      </c>
      <c r="E19" s="10">
        <f>D19/(C19+D19)</f>
        <v/>
      </c>
      <c r="F19" s="10">
        <f>RANK(E19,$E$4:$E$23,0)</f>
        <v/>
      </c>
    </row>
    <row r="20" ht="15" customHeight="1" s="11">
      <c r="A20" s="10" t="inlineStr">
        <is>
          <t>A17</t>
        </is>
      </c>
      <c r="B20" s="10">
        <f>'1. Input Level'!B20</f>
        <v/>
      </c>
      <c r="C20" s="10">
        <f>SQRT(SUMPRODUCT(('5. Normalisasi Terbobot'!B21:E21-'6. Solusi Ideal'!$B$4:$E$4)^2))</f>
        <v/>
      </c>
      <c r="D20" s="10">
        <f>SQRT(SUMPRODUCT(('5. Normalisasi Terbobot'!B21:E21-'6. Solusi Ideal'!$B$5:$E$5)^2))</f>
        <v/>
      </c>
      <c r="E20" s="10">
        <f>D20/(C20+D20)</f>
        <v/>
      </c>
      <c r="F20" s="10">
        <f>RANK(E20,$E$4:$E$23,0)</f>
        <v/>
      </c>
    </row>
    <row r="21" ht="15" customHeight="1" s="11">
      <c r="A21" s="10" t="inlineStr">
        <is>
          <t>A18</t>
        </is>
      </c>
      <c r="B21" s="10">
        <f>'1. Input Level'!B21</f>
        <v/>
      </c>
      <c r="C21" s="10">
        <f>SQRT(SUMPRODUCT(('5. Normalisasi Terbobot'!B22:E22-'6. Solusi Ideal'!$B$4:$E$4)^2))</f>
        <v/>
      </c>
      <c r="D21" s="10">
        <f>SQRT(SUMPRODUCT(('5. Normalisasi Terbobot'!B22:E22-'6. Solusi Ideal'!$B$5:$E$5)^2))</f>
        <v/>
      </c>
      <c r="E21" s="10">
        <f>D21/(C21+D21)</f>
        <v/>
      </c>
      <c r="F21" s="10">
        <f>RANK(E21,$E$4:$E$23,0)</f>
        <v/>
      </c>
    </row>
    <row r="22" ht="15" customHeight="1" s="11">
      <c r="A22" s="10" t="inlineStr">
        <is>
          <t>A19</t>
        </is>
      </c>
      <c r="B22" s="10">
        <f>'1. Input Level'!B22</f>
        <v/>
      </c>
      <c r="C22" s="10">
        <f>SQRT(SUMPRODUCT(('5. Normalisasi Terbobot'!B23:E23-'6. Solusi Ideal'!$B$4:$E$4)^2))</f>
        <v/>
      </c>
      <c r="D22" s="10">
        <f>SQRT(SUMPRODUCT(('5. Normalisasi Terbobot'!B23:E23-'6. Solusi Ideal'!$B$5:$E$5)^2))</f>
        <v/>
      </c>
      <c r="E22" s="10">
        <f>D22/(C22+D22)</f>
        <v/>
      </c>
      <c r="F22" s="10">
        <f>RANK(E22,$E$4:$E$23,0)</f>
        <v/>
      </c>
    </row>
    <row r="23" ht="15" customHeight="1" s="11">
      <c r="A23" s="10" t="inlineStr">
        <is>
          <t>A20</t>
        </is>
      </c>
      <c r="B23" s="10">
        <f>'1. Input Level'!B23</f>
        <v/>
      </c>
      <c r="C23" s="10">
        <f>SQRT(SUMPRODUCT(('5. Normalisasi Terbobot'!B24:E24-'6. Solusi Ideal'!$B$4:$E$4)^2))</f>
        <v/>
      </c>
      <c r="D23" s="10">
        <f>SQRT(SUMPRODUCT(('5. Normalisasi Terbobot'!B24:E24-'6. Solusi Ideal'!$B$5:$E$5)^2))</f>
        <v/>
      </c>
      <c r="E23" s="10">
        <f>D23/(C23+D23)</f>
        <v/>
      </c>
      <c r="F23" s="10">
        <f>RANK(E23,$E$4:$E$23,0)</f>
        <v/>
      </c>
    </row>
    <row r="26" ht="15" customHeight="1" s="11">
      <c r="A26" s="10" t="inlineStr">
        <is>
          <t>Rumus Score TOPSIS: Score = D- / (D+ + D-)</t>
        </is>
      </c>
    </row>
    <row r="27" ht="15" customHeight="1" s="11">
      <c r="A27" s="10" t="inlineStr">
        <is>
          <t>Semakin tinggi score (mendekati 1), semakin baik alternatif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2025-12-09T15:51:15Z</dcterms:created>
  <dcterms:modified xsi:type="dcterms:W3CDTF">2025-12-31T18:46:35Z</dcterms:modified>
  <cp:revision>1</cp:revision>
</cp:coreProperties>
</file>