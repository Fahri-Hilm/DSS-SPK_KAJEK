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0. Panduan Level" sheetId="1" state="visible" r:id="rId3"/>
    <sheet name="1. Input Level" sheetId="2" state="visible" r:id="rId4"/>
    <sheet name="2. Konversi ke Nilai" sheetId="3" state="visible" r:id="rId5"/>
    <sheet name="3. Bobot &amp; Kriteria" sheetId="4" state="visible" r:id="rId6"/>
    <sheet name="4. Normalisasi" sheetId="5" state="visible" r:id="rId7"/>
    <sheet name="5. Normalisasi Terbobot" sheetId="6" state="visible" r:id="rId8"/>
    <sheet name="6. Solusi Ideal" sheetId="7" state="visible" r:id="rId9"/>
    <sheet name="7. Hasil TOPSI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<sst xmlns="http://schemas.openxmlformats.org/spreadsheetml/2006/main" count="217" uniqueCount="137">
  <si>
    <t xml:space="preserve">PANDUAN LEVEL PARAMETER (1-5)</t>
  </si>
  <si>
    <t xml:space="preserve">CPU (BENEFIT)</t>
  </si>
  <si>
    <t xml:space="preserve">Disk I/O (BENEFIT)</t>
  </si>
  <si>
    <t xml:space="preserve">Level</t>
  </si>
  <si>
    <t xml:space="preserve">Range</t>
  </si>
  <si>
    <t xml:space="preserve">Kategori</t>
  </si>
  <si>
    <t xml:space="preserve">1-2 Core</t>
  </si>
  <si>
    <t xml:space="preserve">Sangat Rendah</t>
  </si>
  <si>
    <t xml:space="preserve">100-200 MB/s</t>
  </si>
  <si>
    <t xml:space="preserve">3-4 Core</t>
  </si>
  <si>
    <t xml:space="preserve">Rendah</t>
  </si>
  <si>
    <t xml:space="preserve">201-400 MB/s</t>
  </si>
  <si>
    <t xml:space="preserve">5-6 Core</t>
  </si>
  <si>
    <t xml:space="preserve">Sedang</t>
  </si>
  <si>
    <t xml:space="preserve">401-600 MB/s</t>
  </si>
  <si>
    <t xml:space="preserve">7-8 Core</t>
  </si>
  <si>
    <t xml:space="preserve">Tinggi</t>
  </si>
  <si>
    <t xml:space="preserve">601-800 MB/s</t>
  </si>
  <si>
    <t xml:space="preserve">9+ Core</t>
  </si>
  <si>
    <t xml:space="preserve">Sangat Tinggi</t>
  </si>
  <si>
    <t xml:space="preserve">801+ MB/s</t>
  </si>
  <si>
    <t xml:space="preserve">RAM (BENEFIT)</t>
  </si>
  <si>
    <t xml:space="preserve">Harga (COST)</t>
  </si>
  <si>
    <t xml:space="preserve">1-2 GB</t>
  </si>
  <si>
    <t xml:space="preserve">$5-$20</t>
  </si>
  <si>
    <t xml:space="preserve">Sangat Murah</t>
  </si>
  <si>
    <t xml:space="preserve">3-4 GB</t>
  </si>
  <si>
    <t xml:space="preserve">$21-$50</t>
  </si>
  <si>
    <t xml:space="preserve">Murah</t>
  </si>
  <si>
    <t xml:space="preserve">5-8 GB</t>
  </si>
  <si>
    <t xml:space="preserve">$51-$100</t>
  </si>
  <si>
    <t xml:space="preserve">9-16 GB</t>
  </si>
  <si>
    <t xml:space="preserve">$101-$200</t>
  </si>
  <si>
    <t xml:space="preserve">Mahal</t>
  </si>
  <si>
    <t xml:space="preserve">17+ GB</t>
  </si>
  <si>
    <t xml:space="preserve">$201+</t>
  </si>
  <si>
    <t xml:space="preserve">Sangat Mahal</t>
  </si>
  <si>
    <t xml:space="preserve">INPUT LEVEL (1-5) - UBAH DI KOLOM KUNING</t>
  </si>
  <si>
    <t xml:space="preserve">No</t>
  </si>
  <si>
    <t xml:space="preserve">Vendor</t>
  </si>
  <si>
    <t xml:space="preserve">Nama Paket</t>
  </si>
  <si>
    <t xml:space="preserve">CPU Lvl</t>
  </si>
  <si>
    <t xml:space="preserve">RAM Lvl</t>
  </si>
  <si>
    <t xml:space="preserve">I/O Lvl</t>
  </si>
  <si>
    <t xml:space="preserve">Harga Lvl</t>
  </si>
  <si>
    <t xml:space="preserve">Hetzner</t>
  </si>
  <si>
    <t xml:space="preserve">CPX31</t>
  </si>
  <si>
    <t xml:space="preserve">OVHcloud</t>
  </si>
  <si>
    <t xml:space="preserve">VLE-4 (Comfort)</t>
  </si>
  <si>
    <t xml:space="preserve">Dewaweb</t>
  </si>
  <si>
    <t xml:space="preserve">Cloud VPS (Paket M)</t>
  </si>
  <si>
    <t xml:space="preserve">IDCloudHost</t>
  </si>
  <si>
    <t xml:space="preserve">Cloud VPS Pro (8GB)</t>
  </si>
  <si>
    <t xml:space="preserve">Niagahoster</t>
  </si>
  <si>
    <t xml:space="preserve">Cloud VPS KVM 8GB</t>
  </si>
  <si>
    <t xml:space="preserve">Biznet Gio</t>
  </si>
  <si>
    <t xml:space="preserve">NEO Lite (MM.8.4)</t>
  </si>
  <si>
    <t xml:space="preserve">Rumahweb</t>
  </si>
  <si>
    <t xml:space="preserve">Cloud VPS 8GB</t>
  </si>
  <si>
    <t xml:space="preserve">DomaiNesia</t>
  </si>
  <si>
    <t xml:space="preserve">Cloud VPS Cirrus 8GB</t>
  </si>
  <si>
    <t xml:space="preserve">Qwords</t>
  </si>
  <si>
    <t xml:space="preserve">Cloud VPS KVM SC8</t>
  </si>
  <si>
    <t xml:space="preserve">Jagoan Hosting</t>
  </si>
  <si>
    <t xml:space="preserve">Cloud VPS Mega</t>
  </si>
  <si>
    <t xml:space="preserve">Linode</t>
  </si>
  <si>
    <t xml:space="preserve">Shared Linode 8GB</t>
  </si>
  <si>
    <t xml:space="preserve">DigitalOcean</t>
  </si>
  <si>
    <t xml:space="preserve">Premium Droplet</t>
  </si>
  <si>
    <t xml:space="preserve">Vultr</t>
  </si>
  <si>
    <t xml:space="preserve">Cloud Compute</t>
  </si>
  <si>
    <t xml:space="preserve">Tencent Cloud</t>
  </si>
  <si>
    <t xml:space="preserve">S5.LARGE16 + 100GB</t>
  </si>
  <si>
    <t xml:space="preserve">Scaleway</t>
  </si>
  <si>
    <t xml:space="preserve">PRO2-S</t>
  </si>
  <si>
    <t xml:space="preserve">UpCloud</t>
  </si>
  <si>
    <t xml:space="preserve">General Purpose</t>
  </si>
  <si>
    <t xml:space="preserve">Alibaba Cloud</t>
  </si>
  <si>
    <t xml:space="preserve">ecs.g6.xlarge + 100GB</t>
  </si>
  <si>
    <t xml:space="preserve">Google Cloud</t>
  </si>
  <si>
    <t xml:space="preserve">e2-standard-4 + 100GB</t>
  </si>
  <si>
    <t xml:space="preserve">AWS EC2</t>
  </si>
  <si>
    <t xml:space="preserve">t3.xlarge + 100GB</t>
  </si>
  <si>
    <t xml:space="preserve">Azure</t>
  </si>
  <si>
    <t xml:space="preserve">B4ms + 100GB</t>
  </si>
  <si>
    <t xml:space="preserve">⚠️ INPUT LEVEL 1-5 DI KOLOM KUNING (Lihat sheet '0. Panduan Level')</t>
  </si>
  <si>
    <t xml:space="preserve">KONVERSI LEVEL KE NILAI AKTUAL (OTOMATIS)</t>
  </si>
  <si>
    <t xml:space="preserve">CPU</t>
  </si>
  <si>
    <t xml:space="preserve">RAM</t>
  </si>
  <si>
    <t xml:space="preserve">Disk I/O</t>
  </si>
  <si>
    <t xml:space="preserve">Harga</t>
  </si>
  <si>
    <t xml:space="preserve">BOBOT DAN TIPE KRITERIA</t>
  </si>
  <si>
    <t xml:space="preserve">Kriteria</t>
  </si>
  <si>
    <t xml:space="preserve">CPU (C1)</t>
  </si>
  <si>
    <t xml:space="preserve">RAM (C2)</t>
  </si>
  <si>
    <t xml:space="preserve">Disk I/O (C3)</t>
  </si>
  <si>
    <t xml:space="preserve">Harga (C4)</t>
  </si>
  <si>
    <t xml:space="preserve">Tipe</t>
  </si>
  <si>
    <t xml:space="preserve">BENEFIT</t>
  </si>
  <si>
    <t xml:space="preserve">COST</t>
  </si>
  <si>
    <t xml:space="preserve">Bobot (W)</t>
  </si>
  <si>
    <t xml:space="preserve">Total Bobot:</t>
  </si>
  <si>
    <t xml:space="preserve">MATRIKS TERNORMALISASI (R)</t>
  </si>
  <si>
    <t xml:space="preserve">Rumus: rij = xij / √(Σxij²)</t>
  </si>
  <si>
    <t xml:space="preserve">Alternatif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</si>
  <si>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</si>
  <si>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</si>
  <si>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</si>
  <si>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</si>
  <si>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</si>
  <si>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</si>
  <si>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</si>
  <si>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</si>
  <si>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</si>
  <si>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</si>
  <si>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</si>
  <si>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</si>
  <si>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</si>
  <si>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</si>
  <si>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</si>
  <si>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</si>
  <si>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</si>
  <si>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</si>
  <si>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</si>
  <si>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A20</t>
  </si>
  <si>
    <t xml:space="preserve">MATRIKS TERNORMALISASI TERBOBOT (Y)</t>
  </si>
  <si>
    <t xml:space="preserve">Rumus: yij = wj × rij</t>
  </si>
  <si>
    <t xml:space="preserve">SOLUSI IDEAL POSITIF (A+) DAN NEGATIF (A-)</t>
  </si>
  <si>
    <t xml:space="preserve">A+ (Ideal Positif)</t>
  </si>
  <si>
    <t xml:space="preserve">A- (Ideal Negatif)</t>
  </si>
  <si>
    <t xml:space="preserve">HASIL PERHITUNGAN TOPSIS</t>
  </si>
  <si>
    <t xml:space="preserve">D+ (Jarak ke A+)</t>
  </si>
  <si>
    <t xml:space="preserve">D- (Jarak ke A-)</t>
  </si>
  <si>
    <t xml:space="preserve">Score</t>
  </si>
  <si>
    <t xml:space="preserve">Rank</t>
  </si>
  <si>
    <t xml:space="preserve">Rumus Score TOPSIS: Score = D- / (D+ + D-)</t>
  </si>
  <si>
    <t xml:space="preserve">Semakin tinggi score (mendekati 1), semakin baik alternatif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</si>
</sst>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4"/>
      <color rgb="FF1F4E78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2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5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E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  <c r="C4" s="3" t="s">
        <v>5</v>
      </c>
      <c r="E4" s="3" t="s">
        <v>3</v>
      </c>
      <c r="F4" s="3" t="s">
        <v>4</v>
      </c>
      <c r="G4" s="3" t="s">
        <v>5</v>
      </c>
    </row>
    <row r="5" customFormat="false" ht="15" hidden="false" customHeight="false" outlineLevel="0" collapsed="false">
      <c r="A5" s="0" t="n">
        <v>1</v>
      </c>
      <c r="B5" s="0" t="s">
        <v>6</v>
      </c>
      <c r="C5" s="0" t="s">
        <v>7</v>
      </c>
      <c r="E5" s="0" t="n">
        <v>1</v>
      </c>
      <c r="F5" s="0" t="s">
        <v>8</v>
      </c>
      <c r="G5" s="0" t="s">
        <v>7</v>
      </c>
    </row>
    <row r="6" customFormat="false" ht="15" hidden="false" customHeight="false" outlineLevel="0" collapsed="false">
      <c r="A6" s="0" t="n">
        <v>2</v>
      </c>
      <c r="B6" s="0" t="s">
        <v>9</v>
      </c>
      <c r="C6" s="0" t="s">
        <v>10</v>
      </c>
      <c r="E6" s="0" t="n">
        <v>2</v>
      </c>
      <c r="F6" s="0" t="s">
        <v>11</v>
      </c>
      <c r="G6" s="0" t="s">
        <v>10</v>
      </c>
    </row>
    <row r="7" customFormat="false" ht="15" hidden="false" customHeight="false" outlineLevel="0" collapsed="false">
      <c r="A7" s="0" t="n">
        <v>3</v>
      </c>
      <c r="B7" s="0" t="s">
        <v>12</v>
      </c>
      <c r="C7" s="0" t="s">
        <v>13</v>
      </c>
      <c r="E7" s="0" t="n">
        <v>3</v>
      </c>
      <c r="F7" s="0" t="s">
        <v>14</v>
      </c>
      <c r="G7" s="0" t="s">
        <v>13</v>
      </c>
    </row>
    <row r="8" customFormat="false" ht="15" hidden="false" customHeight="false" outlineLevel="0" collapsed="false">
      <c r="A8" s="0" t="n">
        <v>4</v>
      </c>
      <c r="B8" s="0" t="s">
        <v>15</v>
      </c>
      <c r="C8" s="0" t="s">
        <v>16</v>
      </c>
      <c r="E8" s="0" t="n">
        <v>4</v>
      </c>
      <c r="F8" s="0" t="s">
        <v>17</v>
      </c>
      <c r="G8" s="0" t="s">
        <v>16</v>
      </c>
    </row>
    <row r="9" customFormat="false" ht="15" hidden="false" customHeight="false" outlineLevel="0" collapsed="false">
      <c r="A9" s="0" t="n">
        <v>5</v>
      </c>
      <c r="B9" s="0" t="s">
        <v>18</v>
      </c>
      <c r="C9" s="0" t="s">
        <v>19</v>
      </c>
      <c r="E9" s="0" t="n">
        <v>5</v>
      </c>
      <c r="F9" s="0" t="s">
        <v>20</v>
      </c>
      <c r="G9" s="0" t="s">
        <v>19</v>
      </c>
    </row>
    <row r="11" customFormat="false" ht="15" hidden="false" customHeight="false" outlineLevel="0" collapsed="false">
      <c r="A11" s="2" t="s">
        <v>21</v>
      </c>
      <c r="E11" s="2" t="s">
        <v>22</v>
      </c>
    </row>
    <row r="12" customFormat="false" ht="15" hidden="false" customHeight="false" outlineLevel="0" collapsed="false">
      <c r="A12" s="3" t="s">
        <v>3</v>
      </c>
      <c r="B12" s="3" t="s">
        <v>4</v>
      </c>
      <c r="C12" s="3" t="s">
        <v>5</v>
      </c>
      <c r="E12" s="3" t="s">
        <v>3</v>
      </c>
      <c r="F12" s="3" t="s">
        <v>4</v>
      </c>
      <c r="G12" s="3" t="s">
        <v>5</v>
      </c>
    </row>
    <row r="13" customFormat="false" ht="15" hidden="false" customHeight="false" outlineLevel="0" collapsed="false">
      <c r="A13" s="0" t="n">
        <v>1</v>
      </c>
      <c r="B13" s="0" t="s">
        <v>23</v>
      </c>
      <c r="C13" s="0" t="s">
        <v>7</v>
      </c>
      <c r="E13" s="0" t="n">
        <v>1</v>
      </c>
      <c r="F13" s="0" t="s">
        <v>24</v>
      </c>
      <c r="G13" s="0" t="s">
        <v>25</v>
      </c>
    </row>
    <row r="14" customFormat="false" ht="15" hidden="false" customHeight="false" outlineLevel="0" collapsed="false">
      <c r="A14" s="0" t="n">
        <v>2</v>
      </c>
      <c r="B14" s="0" t="s">
        <v>26</v>
      </c>
      <c r="C14" s="0" t="s">
        <v>10</v>
      </c>
      <c r="E14" s="0" t="n">
        <v>2</v>
      </c>
      <c r="F14" s="0" t="s">
        <v>27</v>
      </c>
      <c r="G14" s="0" t="s">
        <v>28</v>
      </c>
    </row>
    <row r="15" customFormat="false" ht="15" hidden="false" customHeight="false" outlineLevel="0" collapsed="false">
      <c r="A15" s="0" t="n">
        <v>3</v>
      </c>
      <c r="B15" s="0" t="s">
        <v>29</v>
      </c>
      <c r="C15" s="0" t="s">
        <v>13</v>
      </c>
      <c r="E15" s="0" t="n">
        <v>3</v>
      </c>
      <c r="F15" s="0" t="s">
        <v>30</v>
      </c>
      <c r="G15" s="0" t="s">
        <v>13</v>
      </c>
    </row>
    <row r="16" customFormat="false" ht="15" hidden="false" customHeight="false" outlineLevel="0" collapsed="false">
      <c r="A16" s="0" t="n">
        <v>4</v>
      </c>
      <c r="B16" s="0" t="s">
        <v>31</v>
      </c>
      <c r="C16" s="0" t="s">
        <v>16</v>
      </c>
      <c r="E16" s="0" t="n">
        <v>4</v>
      </c>
      <c r="F16" s="0" t="s">
        <v>32</v>
      </c>
      <c r="G16" s="0" t="s">
        <v>33</v>
      </c>
    </row>
    <row r="17" customFormat="false" ht="15" hidden="false" customHeight="false" outlineLevel="0" collapsed="false">
      <c r="A17" s="0" t="n">
        <v>5</v>
      </c>
      <c r="B17" s="0" t="s">
        <v>34</v>
      </c>
      <c r="C17" s="0" t="s">
        <v>19</v>
      </c>
      <c r="E17" s="0" t="n">
        <v>5</v>
      </c>
      <c r="F17" s="0" t="s">
        <v>35</v>
      </c>
      <c r="G17" s="0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23"/>
    <col collapsed="false" customWidth="true" hidden="false" outlineLevel="0" max="6" min="4" style="0" width="9"/>
    <col collapsed="false" customWidth="true" hidden="false" outlineLevel="0" max="7" min="7" style="0" width="11"/>
  </cols>
  <sheetData>
    <row r="1" customFormat="false" ht="17.35" hidden="false" customHeight="false" outlineLevel="0" collapsed="false">
      <c r="A1" s="4" t="s">
        <v>37</v>
      </c>
    </row>
    <row r="3" customFormat="false" ht="15" hidden="false" customHeight="fals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</row>
    <row r="4" customFormat="false" ht="15" hidden="false" customHeight="false" outlineLevel="0" collapsed="false">
      <c r="A4" s="0" t="n">
        <v>1</v>
      </c>
      <c r="B4" s="0" t="s">
        <v>45</v>
      </c>
      <c r="C4" s="0" t="s">
        <v>46</v>
      </c>
      <c r="D4" s="6" t="n">
        <v>2</v>
      </c>
      <c r="E4" s="6" t="n">
        <v>3</v>
      </c>
      <c r="F4" s="6" t="n">
        <v>1</v>
      </c>
      <c r="G4" s="6" t="n">
        <v>1</v>
      </c>
    </row>
    <row r="5" customFormat="false" ht="15" hidden="false" customHeight="false" outlineLevel="0" collapsed="false">
      <c r="A5" s="0" t="n">
        <v>2</v>
      </c>
      <c r="B5" s="0" t="s">
        <v>47</v>
      </c>
      <c r="C5" s="0" t="s">
        <v>48</v>
      </c>
      <c r="D5" s="6" t="n">
        <v>2</v>
      </c>
      <c r="E5" s="6" t="n">
        <v>3</v>
      </c>
      <c r="F5" s="6" t="n">
        <v>1</v>
      </c>
      <c r="G5" s="6" t="n">
        <v>1</v>
      </c>
    </row>
    <row r="6" customFormat="false" ht="15" hidden="false" customHeight="false" outlineLevel="0" collapsed="false">
      <c r="A6" s="0" t="n">
        <v>3</v>
      </c>
      <c r="B6" s="0" t="s">
        <v>49</v>
      </c>
      <c r="C6" s="0" t="s">
        <v>50</v>
      </c>
      <c r="D6" s="6" t="n">
        <v>3</v>
      </c>
      <c r="E6" s="6" t="n">
        <v>4</v>
      </c>
      <c r="F6" s="6" t="n">
        <v>1</v>
      </c>
      <c r="G6" s="6" t="n">
        <v>1</v>
      </c>
    </row>
    <row r="7" customFormat="false" ht="15" hidden="false" customHeight="false" outlineLevel="0" collapsed="false">
      <c r="A7" s="0" t="n">
        <v>4</v>
      </c>
      <c r="B7" s="0" t="s">
        <v>51</v>
      </c>
      <c r="C7" s="0" t="s">
        <v>52</v>
      </c>
      <c r="D7" s="6" t="n">
        <v>2</v>
      </c>
      <c r="E7" s="6" t="n">
        <v>3</v>
      </c>
      <c r="F7" s="6" t="n">
        <v>5</v>
      </c>
      <c r="G7" s="6" t="n">
        <v>1</v>
      </c>
    </row>
    <row r="8" customFormat="false" ht="15" hidden="false" customHeight="false" outlineLevel="0" collapsed="false">
      <c r="A8" s="0" t="n">
        <v>5</v>
      </c>
      <c r="B8" s="0" t="s">
        <v>53</v>
      </c>
      <c r="C8" s="0" t="s">
        <v>54</v>
      </c>
      <c r="D8" s="6" t="n">
        <v>2</v>
      </c>
      <c r="E8" s="6" t="n">
        <v>3</v>
      </c>
      <c r="F8" s="6" t="n">
        <v>1</v>
      </c>
      <c r="G8" s="6" t="n">
        <v>2</v>
      </c>
    </row>
    <row r="9" customFormat="false" ht="15" hidden="false" customHeight="false" outlineLevel="0" collapsed="false">
      <c r="A9" s="0" t="n">
        <v>6</v>
      </c>
      <c r="B9" s="0" t="s">
        <v>55</v>
      </c>
      <c r="C9" s="0" t="s">
        <v>56</v>
      </c>
      <c r="D9" s="6" t="n">
        <v>2</v>
      </c>
      <c r="E9" s="6" t="n">
        <v>3</v>
      </c>
      <c r="F9" s="6" t="n">
        <v>1</v>
      </c>
      <c r="G9" s="6" t="n">
        <v>2</v>
      </c>
    </row>
    <row r="10" customFormat="false" ht="15" hidden="false" customHeight="false" outlineLevel="0" collapsed="false">
      <c r="A10" s="0" t="n">
        <v>7</v>
      </c>
      <c r="B10" s="0" t="s">
        <v>57</v>
      </c>
      <c r="C10" s="0" t="s">
        <v>58</v>
      </c>
      <c r="D10" s="6" t="n">
        <v>2</v>
      </c>
      <c r="E10" s="6" t="n">
        <v>3</v>
      </c>
      <c r="F10" s="6" t="n">
        <v>1</v>
      </c>
      <c r="G10" s="6" t="n">
        <v>2</v>
      </c>
    </row>
    <row r="11" customFormat="false" ht="15" hidden="false" customHeight="false" outlineLevel="0" collapsed="false">
      <c r="A11" s="0" t="n">
        <v>8</v>
      </c>
      <c r="B11" s="0" t="s">
        <v>59</v>
      </c>
      <c r="C11" s="0" t="s">
        <v>60</v>
      </c>
      <c r="D11" s="6" t="n">
        <v>2</v>
      </c>
      <c r="E11" s="6" t="n">
        <v>3</v>
      </c>
      <c r="F11" s="6" t="n">
        <v>1</v>
      </c>
      <c r="G11" s="6" t="n">
        <v>2</v>
      </c>
    </row>
    <row r="12" customFormat="false" ht="15" hidden="false" customHeight="false" outlineLevel="0" collapsed="false">
      <c r="A12" s="0" t="n">
        <v>9</v>
      </c>
      <c r="B12" s="0" t="s">
        <v>61</v>
      </c>
      <c r="C12" s="0" t="s">
        <v>62</v>
      </c>
      <c r="D12" s="6" t="n">
        <v>2</v>
      </c>
      <c r="E12" s="6" t="n">
        <v>3</v>
      </c>
      <c r="F12" s="6" t="n">
        <v>1</v>
      </c>
      <c r="G12" s="6" t="n">
        <v>2</v>
      </c>
    </row>
    <row r="13" customFormat="false" ht="15" hidden="false" customHeight="false" outlineLevel="0" collapsed="false">
      <c r="A13" s="0" t="n">
        <v>10</v>
      </c>
      <c r="B13" s="0" t="s">
        <v>63</v>
      </c>
      <c r="C13" s="0" t="s">
        <v>64</v>
      </c>
      <c r="D13" s="6" t="n">
        <v>2</v>
      </c>
      <c r="E13" s="6" t="n">
        <v>3</v>
      </c>
      <c r="F13" s="6" t="n">
        <v>1</v>
      </c>
      <c r="G13" s="6" t="n">
        <v>2</v>
      </c>
    </row>
    <row r="14" customFormat="false" ht="15" hidden="false" customHeight="false" outlineLevel="0" collapsed="false">
      <c r="A14" s="0" t="n">
        <v>11</v>
      </c>
      <c r="B14" s="0" t="s">
        <v>65</v>
      </c>
      <c r="C14" s="0" t="s">
        <v>66</v>
      </c>
      <c r="D14" s="6" t="n">
        <v>2</v>
      </c>
      <c r="E14" s="6" t="n">
        <v>3</v>
      </c>
      <c r="F14" s="6" t="n">
        <v>4</v>
      </c>
      <c r="G14" s="6" t="n">
        <v>2</v>
      </c>
    </row>
    <row r="15" customFormat="false" ht="15" hidden="false" customHeight="false" outlineLevel="0" collapsed="false">
      <c r="A15" s="0" t="n">
        <v>12</v>
      </c>
      <c r="B15" s="0" t="s">
        <v>67</v>
      </c>
      <c r="C15" s="0" t="s">
        <v>68</v>
      </c>
      <c r="D15" s="6" t="n">
        <v>2</v>
      </c>
      <c r="E15" s="6" t="n">
        <v>3</v>
      </c>
      <c r="F15" s="6" t="n">
        <v>3</v>
      </c>
      <c r="G15" s="6" t="n">
        <v>2</v>
      </c>
    </row>
    <row r="16" customFormat="false" ht="15" hidden="false" customHeight="false" outlineLevel="0" collapsed="false">
      <c r="A16" s="0" t="n">
        <v>13</v>
      </c>
      <c r="B16" s="0" t="s">
        <v>69</v>
      </c>
      <c r="C16" s="0" t="s">
        <v>70</v>
      </c>
      <c r="D16" s="6" t="n">
        <v>2</v>
      </c>
      <c r="E16" s="6" t="n">
        <v>3</v>
      </c>
      <c r="F16" s="6" t="n">
        <v>5</v>
      </c>
      <c r="G16" s="6" t="n">
        <v>2</v>
      </c>
    </row>
    <row r="17" customFormat="false" ht="15" hidden="false" customHeight="false" outlineLevel="0" collapsed="false">
      <c r="A17" s="0" t="n">
        <v>14</v>
      </c>
      <c r="B17" s="0" t="s">
        <v>71</v>
      </c>
      <c r="C17" s="0" t="s">
        <v>72</v>
      </c>
      <c r="D17" s="6" t="n">
        <v>2</v>
      </c>
      <c r="E17" s="6" t="n">
        <v>4</v>
      </c>
      <c r="F17" s="6" t="n">
        <v>1</v>
      </c>
      <c r="G17" s="6" t="n">
        <v>3</v>
      </c>
    </row>
    <row r="18" customFormat="false" ht="15" hidden="false" customHeight="false" outlineLevel="0" collapsed="false">
      <c r="A18" s="0" t="n">
        <v>15</v>
      </c>
      <c r="B18" s="0" t="s">
        <v>73</v>
      </c>
      <c r="C18" s="0" t="s">
        <v>74</v>
      </c>
      <c r="D18" s="6" t="n">
        <v>2</v>
      </c>
      <c r="E18" s="6" t="n">
        <v>4</v>
      </c>
      <c r="F18" s="6" t="n">
        <v>1</v>
      </c>
      <c r="G18" s="6" t="n">
        <v>3</v>
      </c>
    </row>
    <row r="19" customFormat="false" ht="15" hidden="false" customHeight="false" outlineLevel="0" collapsed="false">
      <c r="A19" s="0" t="n">
        <v>16</v>
      </c>
      <c r="B19" s="0" t="s">
        <v>75</v>
      </c>
      <c r="C19" s="0" t="s">
        <v>76</v>
      </c>
      <c r="D19" s="6" t="n">
        <v>2</v>
      </c>
      <c r="E19" s="6" t="n">
        <v>3</v>
      </c>
      <c r="F19" s="6" t="n">
        <v>1</v>
      </c>
      <c r="G19" s="6" t="n">
        <v>3</v>
      </c>
    </row>
    <row r="20" customFormat="false" ht="15" hidden="false" customHeight="false" outlineLevel="0" collapsed="false">
      <c r="A20" s="0" t="n">
        <v>17</v>
      </c>
      <c r="B20" s="0" t="s">
        <v>77</v>
      </c>
      <c r="C20" s="0" t="s">
        <v>78</v>
      </c>
      <c r="D20" s="6" t="n">
        <v>2</v>
      </c>
      <c r="E20" s="6" t="n">
        <v>4</v>
      </c>
      <c r="F20" s="6" t="n">
        <v>5</v>
      </c>
      <c r="G20" s="6" t="n">
        <v>3</v>
      </c>
    </row>
    <row r="21" customFormat="false" ht="15" hidden="false" customHeight="false" outlineLevel="0" collapsed="false">
      <c r="A21" s="0" t="n">
        <v>18</v>
      </c>
      <c r="B21" s="0" t="s">
        <v>79</v>
      </c>
      <c r="C21" s="0" t="s">
        <v>80</v>
      </c>
      <c r="D21" s="6" t="n">
        <v>2</v>
      </c>
      <c r="E21" s="6" t="n">
        <v>4</v>
      </c>
      <c r="F21" s="6" t="n">
        <v>5</v>
      </c>
      <c r="G21" s="6" t="n">
        <v>4</v>
      </c>
    </row>
    <row r="22" customFormat="false" ht="15" hidden="false" customHeight="false" outlineLevel="0" collapsed="false">
      <c r="A22" s="0" t="n">
        <v>19</v>
      </c>
      <c r="B22" s="0" t="s">
        <v>81</v>
      </c>
      <c r="C22" s="0" t="s">
        <v>82</v>
      </c>
      <c r="D22" s="6" t="n">
        <v>2</v>
      </c>
      <c r="E22" s="6" t="n">
        <v>4</v>
      </c>
      <c r="F22" s="6" t="n">
        <v>4</v>
      </c>
      <c r="G22" s="6" t="n">
        <v>4</v>
      </c>
    </row>
    <row r="23" customFormat="false" ht="15" hidden="false" customHeight="false" outlineLevel="0" collapsed="false">
      <c r="A23" s="0" t="n">
        <v>20</v>
      </c>
      <c r="B23" s="0" t="s">
        <v>83</v>
      </c>
      <c r="C23" s="0" t="s">
        <v>84</v>
      </c>
      <c r="D23" s="6" t="n">
        <v>2</v>
      </c>
      <c r="E23" s="6" t="n">
        <v>4</v>
      </c>
      <c r="F23" s="6" t="n">
        <v>1</v>
      </c>
      <c r="G23" s="6" t="n">
        <v>4</v>
      </c>
    </row>
    <row r="25" customFormat="false" ht="15" hidden="false" customHeight="false" outlineLevel="0" collapsed="false">
      <c r="A25" s="7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3"/>
    <col collapsed="false" customWidth="true" hidden="false" outlineLevel="0" max="2" min="2" style="0" width="23"/>
    <col collapsed="false" customWidth="true" hidden="false" outlineLevel="0" max="3" min="3" style="0" width="42"/>
    <col collapsed="false" customWidth="true" hidden="false" outlineLevel="0" max="4" min="4" style="0" width="43"/>
    <col collapsed="false" customWidth="true" hidden="false" outlineLevel="0" max="5" min="5" style="0" width="50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4" t="s">
        <v>86</v>
      </c>
    </row>
    <row r="3" customFormat="false" ht="15" hidden="false" customHeight="false" outlineLevel="0" collapsed="false">
      <c r="A3" s="5" t="s">
        <v>38</v>
      </c>
      <c r="B3" s="5" t="s">
        <v>39</v>
      </c>
      <c r="C3" s="5" t="s">
        <v>87</v>
      </c>
      <c r="D3" s="5" t="s">
        <v>88</v>
      </c>
      <c r="E3" s="5" t="s">
        <v>89</v>
      </c>
      <c r="F3" s="5" t="s">
        <v>90</v>
      </c>
    </row>
    <row r="4" customFormat="false" ht="15" hidden="false" customHeight="false" outlineLevel="0" collapsed="false">
      <c r="A4" s="0" t="n">
        <v>1</v>
      </c>
      <c r="B4" s="0" t="str">
        <f aca="false">'1. Input Level'!B4</f>
        <v>Hetzner</v>
      </c>
      <c r="C4" s="0" t="n">
        <f aca="false">CHOOSE('1. Input Level'!D4,2,4,6,8,10)</f>
        <v>4</v>
      </c>
      <c r="D4" s="0" t="n">
        <f aca="false">CHOOSE('1. Input Level'!E4,2,4,8,16,32)</f>
        <v>8</v>
      </c>
      <c r="E4" s="0" t="n">
        <f aca="false">CHOOSE('1. Input Level'!F4,150,300,500,700,1000)</f>
        <v>150</v>
      </c>
      <c r="F4" s="0" t="n">
        <f aca="false">CHOOSE('1. Input Level'!G4,15,35,75,150,250)</f>
        <v>15</v>
      </c>
    </row>
    <row r="5" customFormat="false" ht="15" hidden="false" customHeight="false" outlineLevel="0" collapsed="false">
      <c r="A5" s="0" t="n">
        <v>2</v>
      </c>
      <c r="B5" s="0" t="str">
        <f aca="false">'1. Input Level'!B5</f>
        <v>OVHcloud</v>
      </c>
      <c r="C5" s="0" t="n">
        <f aca="false">CHOOSE('1. Input Level'!D5,2,4,6,8,10)</f>
        <v>4</v>
      </c>
      <c r="D5" s="0" t="n">
        <f aca="false">CHOOSE('1. Input Level'!E5,2,4,8,16,32)</f>
        <v>8</v>
      </c>
      <c r="E5" s="0" t="n">
        <f aca="false">CHOOSE('1. Input Level'!F5,150,300,500,700,1000)</f>
        <v>150</v>
      </c>
      <c r="F5" s="0" t="n">
        <f aca="false">CHOOSE('1. Input Level'!G5,15,35,75,150,250)</f>
        <v>15</v>
      </c>
    </row>
    <row r="6" customFormat="false" ht="15" hidden="false" customHeight="false" outlineLevel="0" collapsed="false">
      <c r="A6" s="0" t="n">
        <v>3</v>
      </c>
      <c r="B6" s="0" t="str">
        <f aca="false">'1. Input Level'!B6</f>
        <v>Dewaweb</v>
      </c>
      <c r="C6" s="0" t="n">
        <f aca="false">CHOOSE('1. Input Level'!D6,2,4,6,8,10)</f>
        <v>6</v>
      </c>
      <c r="D6" s="0" t="n">
        <f aca="false">CHOOSE('1. Input Level'!E6,2,4,8,16,32)</f>
        <v>16</v>
      </c>
      <c r="E6" s="0" t="n">
        <f aca="false">CHOOSE('1. Input Level'!F6,150,300,500,700,1000)</f>
        <v>150</v>
      </c>
      <c r="F6" s="0" t="n">
        <f aca="false">CHOOSE('1. Input Level'!G6,15,35,75,150,250)</f>
        <v>15</v>
      </c>
    </row>
    <row r="7" customFormat="false" ht="15" hidden="false" customHeight="false" outlineLevel="0" collapsed="false">
      <c r="A7" s="0" t="n">
        <v>4</v>
      </c>
      <c r="B7" s="0" t="str">
        <f aca="false">'1. Input Level'!B7</f>
        <v>IDCloudHost</v>
      </c>
      <c r="C7" s="0" t="n">
        <f aca="false">CHOOSE('1. Input Level'!D7,2,4,6,8,10)</f>
        <v>4</v>
      </c>
      <c r="D7" s="0" t="n">
        <f aca="false">CHOOSE('1. Input Level'!E7,2,4,8,16,32)</f>
        <v>8</v>
      </c>
      <c r="E7" s="0" t="n">
        <f aca="false">CHOOSE('1. Input Level'!F7,150,300,500,700,1000)</f>
        <v>1000</v>
      </c>
      <c r="F7" s="0" t="n">
        <f aca="false">CHOOSE('1. Input Level'!G7,15,35,75,150,250)</f>
        <v>15</v>
      </c>
    </row>
    <row r="8" customFormat="false" ht="15" hidden="false" customHeight="false" outlineLevel="0" collapsed="false">
      <c r="A8" s="0" t="n">
        <v>5</v>
      </c>
      <c r="B8" s="0" t="str">
        <f aca="false">'1. Input Level'!B8</f>
        <v>Niagahoster</v>
      </c>
      <c r="C8" s="0" t="n">
        <f aca="false">CHOOSE('1. Input Level'!D8,2,4,6,8,10)</f>
        <v>4</v>
      </c>
      <c r="D8" s="0" t="n">
        <f aca="false">CHOOSE('1. Input Level'!E8,2,4,8,16,32)</f>
        <v>8</v>
      </c>
      <c r="E8" s="0" t="n">
        <f aca="false">CHOOSE('1. Input Level'!F8,150,300,500,700,1000)</f>
        <v>150</v>
      </c>
      <c r="F8" s="0" t="n">
        <f aca="false">CHOOSE('1. Input Level'!G8,15,35,75,150,250)</f>
        <v>35</v>
      </c>
    </row>
    <row r="9" customFormat="false" ht="15" hidden="false" customHeight="false" outlineLevel="0" collapsed="false">
      <c r="A9" s="0" t="n">
        <v>6</v>
      </c>
      <c r="B9" s="0" t="str">
        <f aca="false">'1. Input Level'!B9</f>
        <v>Biznet Gio</v>
      </c>
      <c r="C9" s="0" t="n">
        <f aca="false">CHOOSE('1. Input Level'!D9,2,4,6,8,10)</f>
        <v>4</v>
      </c>
      <c r="D9" s="0" t="n">
        <f aca="false">CHOOSE('1. Input Level'!E9,2,4,8,16,32)</f>
        <v>8</v>
      </c>
      <c r="E9" s="0" t="n">
        <f aca="false">CHOOSE('1. Input Level'!F9,150,300,500,700,1000)</f>
        <v>150</v>
      </c>
      <c r="F9" s="0" t="n">
        <f aca="false">CHOOSE('1. Input Level'!G9,15,35,75,150,250)</f>
        <v>35</v>
      </c>
    </row>
    <row r="10" customFormat="false" ht="15" hidden="false" customHeight="false" outlineLevel="0" collapsed="false">
      <c r="A10" s="0" t="n">
        <v>7</v>
      </c>
      <c r="B10" s="0" t="str">
        <f aca="false">'1. Input Level'!B10</f>
        <v>Rumahweb</v>
      </c>
      <c r="C10" s="0" t="n">
        <f aca="false">CHOOSE('1. Input Level'!D10,2,4,6,8,10)</f>
        <v>4</v>
      </c>
      <c r="D10" s="0" t="n">
        <f aca="false">CHOOSE('1. Input Level'!E10,2,4,8,16,32)</f>
        <v>8</v>
      </c>
      <c r="E10" s="0" t="n">
        <f aca="false">CHOOSE('1. Input Level'!F10,150,300,500,700,1000)</f>
        <v>150</v>
      </c>
      <c r="F10" s="0" t="n">
        <f aca="false">CHOOSE('1. Input Level'!G10,15,35,75,150,250)</f>
        <v>35</v>
      </c>
    </row>
    <row r="11" customFormat="false" ht="15" hidden="false" customHeight="false" outlineLevel="0" collapsed="false">
      <c r="A11" s="0" t="n">
        <v>8</v>
      </c>
      <c r="B11" s="0" t="str">
        <f aca="false">'1. Input Level'!B11</f>
        <v>DomaiNesia</v>
      </c>
      <c r="C11" s="0" t="n">
        <f aca="false">CHOOSE('1. Input Level'!D11,2,4,6,8,10)</f>
        <v>4</v>
      </c>
      <c r="D11" s="0" t="n">
        <f aca="false">CHOOSE('1. Input Level'!E11,2,4,8,16,32)</f>
        <v>8</v>
      </c>
      <c r="E11" s="0" t="n">
        <f aca="false">CHOOSE('1. Input Level'!F11,150,300,500,700,1000)</f>
        <v>150</v>
      </c>
      <c r="F11" s="0" t="n">
        <f aca="false">CHOOSE('1. Input Level'!G11,15,35,75,150,250)</f>
        <v>35</v>
      </c>
    </row>
    <row r="12" customFormat="false" ht="15" hidden="false" customHeight="false" outlineLevel="0" collapsed="false">
      <c r="A12" s="0" t="n">
        <v>9</v>
      </c>
      <c r="B12" s="0" t="str">
        <f aca="false">'1. Input Level'!B12</f>
        <v>Qwords</v>
      </c>
      <c r="C12" s="0" t="n">
        <f aca="false">CHOOSE('1. Input Level'!D12,2,4,6,8,10)</f>
        <v>4</v>
      </c>
      <c r="D12" s="0" t="n">
        <f aca="false">CHOOSE('1. Input Level'!E12,2,4,8,16,32)</f>
        <v>8</v>
      </c>
      <c r="E12" s="0" t="n">
        <f aca="false">CHOOSE('1. Input Level'!F12,150,300,500,700,1000)</f>
        <v>150</v>
      </c>
      <c r="F12" s="0" t="n">
        <f aca="false">CHOOSE('1. Input Level'!G12,15,35,75,150,250)</f>
        <v>35</v>
      </c>
    </row>
    <row r="13" customFormat="false" ht="15" hidden="false" customHeight="false" outlineLevel="0" collapsed="false">
      <c r="A13" s="0" t="n">
        <v>10</v>
      </c>
      <c r="B13" s="0" t="str">
        <f aca="false">'1. Input Level'!B13</f>
        <v>Jagoan Hosting</v>
      </c>
      <c r="C13" s="0" t="n">
        <f aca="false">CHOOSE('1. Input Level'!D13,2,4,6,8,10)</f>
        <v>4</v>
      </c>
      <c r="D13" s="0" t="n">
        <f aca="false">CHOOSE('1. Input Level'!E13,2,4,8,16,32)</f>
        <v>8</v>
      </c>
      <c r="E13" s="0" t="n">
        <f aca="false">CHOOSE('1. Input Level'!F13,150,300,500,700,1000)</f>
        <v>150</v>
      </c>
      <c r="F13" s="0" t="n">
        <f aca="false">CHOOSE('1. Input Level'!G13,15,35,75,150,250)</f>
        <v>35</v>
      </c>
    </row>
    <row r="14" customFormat="false" ht="15" hidden="false" customHeight="false" outlineLevel="0" collapsed="false">
      <c r="A14" s="0" t="n">
        <v>11</v>
      </c>
      <c r="B14" s="0" t="str">
        <f aca="false">'1. Input Level'!B14</f>
        <v>Linode</v>
      </c>
      <c r="C14" s="0" t="n">
        <f aca="false">CHOOSE('1. Input Level'!D14,2,4,6,8,10)</f>
        <v>4</v>
      </c>
      <c r="D14" s="0" t="n">
        <f aca="false">CHOOSE('1. Input Level'!E14,2,4,8,16,32)</f>
        <v>8</v>
      </c>
      <c r="E14" s="0" t="n">
        <f aca="false">CHOOSE('1. Input Level'!F14,150,300,500,700,1000)</f>
        <v>700</v>
      </c>
      <c r="F14" s="0" t="n">
        <f aca="false">CHOOSE('1. Input Level'!G14,15,35,75,150,250)</f>
        <v>35</v>
      </c>
    </row>
    <row r="15" customFormat="false" ht="15" hidden="false" customHeight="false" outlineLevel="0" collapsed="false">
      <c r="A15" s="0" t="n">
        <v>12</v>
      </c>
      <c r="B15" s="0" t="str">
        <f aca="false">'1. Input Level'!B15</f>
        <v>DigitalOcean</v>
      </c>
      <c r="C15" s="0" t="n">
        <f aca="false">CHOOSE('1. Input Level'!D15,2,4,6,8,10)</f>
        <v>4</v>
      </c>
      <c r="D15" s="0" t="n">
        <f aca="false">CHOOSE('1. Input Level'!E15,2,4,8,16,32)</f>
        <v>8</v>
      </c>
      <c r="E15" s="0" t="n">
        <f aca="false">CHOOSE('1. Input Level'!F15,150,300,500,700,1000)</f>
        <v>500</v>
      </c>
      <c r="F15" s="0" t="n">
        <f aca="false">CHOOSE('1. Input Level'!G15,15,35,75,150,250)</f>
        <v>35</v>
      </c>
    </row>
    <row r="16" customFormat="false" ht="15" hidden="false" customHeight="false" outlineLevel="0" collapsed="false">
      <c r="A16" s="0" t="n">
        <v>13</v>
      </c>
      <c r="B16" s="0" t="str">
        <f aca="false">'1. Input Level'!B16</f>
        <v>Vultr</v>
      </c>
      <c r="C16" s="0" t="n">
        <f aca="false">CHOOSE('1. Input Level'!D16,2,4,6,8,10)</f>
        <v>4</v>
      </c>
      <c r="D16" s="0" t="n">
        <f aca="false">CHOOSE('1. Input Level'!E16,2,4,8,16,32)</f>
        <v>8</v>
      </c>
      <c r="E16" s="0" t="n">
        <f aca="false">CHOOSE('1. Input Level'!F16,150,300,500,700,1000)</f>
        <v>1000</v>
      </c>
      <c r="F16" s="0" t="n">
        <f aca="false">CHOOSE('1. Input Level'!G16,15,35,75,150,250)</f>
        <v>35</v>
      </c>
    </row>
    <row r="17" customFormat="false" ht="15" hidden="false" customHeight="false" outlineLevel="0" collapsed="false">
      <c r="A17" s="0" t="n">
        <v>14</v>
      </c>
      <c r="B17" s="0" t="str">
        <f aca="false">'1. Input Level'!B17</f>
        <v>Tencent Cloud</v>
      </c>
      <c r="C17" s="0" t="n">
        <f aca="false">CHOOSE('1. Input Level'!D17,2,4,6,8,10)</f>
        <v>4</v>
      </c>
      <c r="D17" s="0" t="n">
        <f aca="false">CHOOSE('1. Input Level'!E17,2,4,8,16,32)</f>
        <v>16</v>
      </c>
      <c r="E17" s="0" t="n">
        <f aca="false">CHOOSE('1. Input Level'!F17,150,300,500,700,1000)</f>
        <v>150</v>
      </c>
      <c r="F17" s="0" t="n">
        <f aca="false">CHOOSE('1. Input Level'!G17,15,35,75,150,250)</f>
        <v>75</v>
      </c>
    </row>
    <row r="18" customFormat="false" ht="15" hidden="false" customHeight="false" outlineLevel="0" collapsed="false">
      <c r="A18" s="0" t="n">
        <v>15</v>
      </c>
      <c r="B18" s="0" t="str">
        <f aca="false">'1. Input Level'!B18</f>
        <v>Scaleway</v>
      </c>
      <c r="C18" s="0" t="n">
        <f aca="false">CHOOSE('1. Input Level'!D18,2,4,6,8,10)</f>
        <v>4</v>
      </c>
      <c r="D18" s="0" t="n">
        <f aca="false">CHOOSE('1. Input Level'!E18,2,4,8,16,32)</f>
        <v>16</v>
      </c>
      <c r="E18" s="0" t="n">
        <f aca="false">CHOOSE('1. Input Level'!F18,150,300,500,700,1000)</f>
        <v>150</v>
      </c>
      <c r="F18" s="0" t="n">
        <f aca="false">CHOOSE('1. Input Level'!G18,15,35,75,150,250)</f>
        <v>75</v>
      </c>
    </row>
    <row r="19" customFormat="false" ht="15" hidden="false" customHeight="false" outlineLevel="0" collapsed="false">
      <c r="A19" s="0" t="n">
        <v>16</v>
      </c>
      <c r="B19" s="0" t="str">
        <f aca="false">'1. Input Level'!B19</f>
        <v>UpCloud</v>
      </c>
      <c r="C19" s="0" t="n">
        <f aca="false">CHOOSE('1. Input Level'!D19,2,4,6,8,10)</f>
        <v>4</v>
      </c>
      <c r="D19" s="0" t="n">
        <f aca="false">CHOOSE('1. Input Level'!E19,2,4,8,16,32)</f>
        <v>8</v>
      </c>
      <c r="E19" s="0" t="n">
        <f aca="false">CHOOSE('1. Input Level'!F19,150,300,500,700,1000)</f>
        <v>150</v>
      </c>
      <c r="F19" s="0" t="n">
        <f aca="false">CHOOSE('1. Input Level'!G19,15,35,75,150,250)</f>
        <v>75</v>
      </c>
    </row>
    <row r="20" customFormat="false" ht="15" hidden="false" customHeight="false" outlineLevel="0" collapsed="false">
      <c r="A20" s="0" t="n">
        <v>17</v>
      </c>
      <c r="B20" s="0" t="str">
        <f aca="false">'1. Input Level'!B20</f>
        <v>Alibaba Cloud</v>
      </c>
      <c r="C20" s="0" t="n">
        <f aca="false">CHOOSE('1. Input Level'!D20,2,4,6,8,10)</f>
        <v>4</v>
      </c>
      <c r="D20" s="0" t="n">
        <f aca="false">CHOOSE('1. Input Level'!E20,2,4,8,16,32)</f>
        <v>16</v>
      </c>
      <c r="E20" s="0" t="n">
        <f aca="false">CHOOSE('1. Input Level'!F20,150,300,500,700,1000)</f>
        <v>1000</v>
      </c>
      <c r="F20" s="0" t="n">
        <f aca="false">CHOOSE('1. Input Level'!G20,15,35,75,150,250)</f>
        <v>75</v>
      </c>
    </row>
    <row r="21" customFormat="false" ht="15" hidden="false" customHeight="false" outlineLevel="0" collapsed="false">
      <c r="A21" s="0" t="n">
        <v>18</v>
      </c>
      <c r="B21" s="0" t="str">
        <f aca="false">'1. Input Level'!B21</f>
        <v>Google Cloud</v>
      </c>
      <c r="C21" s="0" t="n">
        <f aca="false">CHOOSE('1. Input Level'!D21,2,4,6,8,10)</f>
        <v>4</v>
      </c>
      <c r="D21" s="0" t="n">
        <f aca="false">CHOOSE('1. Input Level'!E21,2,4,8,16,32)</f>
        <v>16</v>
      </c>
      <c r="E21" s="0" t="n">
        <f aca="false">CHOOSE('1. Input Level'!F21,150,300,500,700,1000)</f>
        <v>1000</v>
      </c>
      <c r="F21" s="0" t="n">
        <f aca="false">CHOOSE('1. Input Level'!G21,15,35,75,150,250)</f>
        <v>150</v>
      </c>
    </row>
    <row r="22" customFormat="false" ht="15" hidden="false" customHeight="false" outlineLevel="0" collapsed="false">
      <c r="A22" s="0" t="n">
        <v>19</v>
      </c>
      <c r="B22" s="0" t="str">
        <f aca="false">'1. Input Level'!B22</f>
        <v>AWS EC2</v>
      </c>
      <c r="C22" s="0" t="n">
        <f aca="false">CHOOSE('1. Input Level'!D22,2,4,6,8,10)</f>
        <v>4</v>
      </c>
      <c r="D22" s="0" t="n">
        <f aca="false">CHOOSE('1. Input Level'!E22,2,4,8,16,32)</f>
        <v>16</v>
      </c>
      <c r="E22" s="0" t="n">
        <f aca="false">CHOOSE('1. Input Level'!F22,150,300,500,700,1000)</f>
        <v>700</v>
      </c>
      <c r="F22" s="0" t="n">
        <f aca="false">CHOOSE('1. Input Level'!G22,15,35,75,150,250)</f>
        <v>150</v>
      </c>
    </row>
    <row r="23" customFormat="false" ht="15" hidden="false" customHeight="false" outlineLevel="0" collapsed="false">
      <c r="A23" s="0" t="n">
        <v>20</v>
      </c>
      <c r="B23" s="0" t="str">
        <f aca="false">'1. Input Level'!B23</f>
        <v>Azure</v>
      </c>
      <c r="C23" s="0" t="n">
        <f aca="false">CHOOSE('1. Input Level'!D23,2,4,6,8,10)</f>
        <v>4</v>
      </c>
      <c r="D23" s="0" t="n">
        <f aca="false">CHOOSE('1. Input Level'!E23,2,4,8,16,32)</f>
        <v>16</v>
      </c>
      <c r="E23" s="0" t="n">
        <f aca="false">CHOOSE('1. Input Level'!F23,150,300,500,700,1000)</f>
        <v>150</v>
      </c>
      <c r="F23" s="0" t="n">
        <f aca="false">CHOOSE('1. Input Level'!G23,15,35,75,150,250)</f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" t="s">
        <v>91</v>
      </c>
    </row>
    <row r="3" customFormat="false" ht="15" hidden="false" customHeight="false" outlineLevel="0" collapsed="false">
      <c r="A3" s="5" t="s">
        <v>92</v>
      </c>
      <c r="B3" s="5" t="s">
        <v>93</v>
      </c>
      <c r="C3" s="5" t="s">
        <v>94</v>
      </c>
      <c r="D3" s="5" t="s">
        <v>95</v>
      </c>
      <c r="E3" s="5" t="s">
        <v>96</v>
      </c>
    </row>
    <row r="4" customFormat="false" ht="15" hidden="false" customHeight="false" outlineLevel="0" collapsed="false">
      <c r="A4" s="0" t="s">
        <v>97</v>
      </c>
      <c r="B4" s="0" t="s">
        <v>98</v>
      </c>
      <c r="C4" s="0" t="s">
        <v>98</v>
      </c>
      <c r="D4" s="0" t="s">
        <v>98</v>
      </c>
      <c r="E4" s="0" t="s">
        <v>99</v>
      </c>
    </row>
    <row r="5" customFormat="false" ht="15" hidden="false" customHeight="false" outlineLevel="0" collapsed="false">
      <c r="A5" s="0" t="s">
        <v>100</v>
      </c>
      <c r="B5" s="6" t="n">
        <v>0.25</v>
      </c>
      <c r="C5" s="6" t="n">
        <v>0.25</v>
      </c>
      <c r="D5" s="6" t="n">
        <v>0.25</v>
      </c>
      <c r="E5" s="6" t="n">
        <v>0.25</v>
      </c>
    </row>
    <row r="7" customFormat="false" ht="15" hidden="false" customHeight="false" outlineLevel="0" collapsed="false">
      <c r="A7" s="0" t="s">
        <v>101</v>
      </c>
      <c r="B7" s="8" t="n">
        <f aca="false">SUM(B5:E5)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5" min="2" style="0" width="50"/>
  </cols>
  <sheetData>
    <row r="1" customFormat="false" ht="17.35" hidden="false" customHeight="false" outlineLevel="0" collapsed="false">
      <c r="A1" s="4" t="s">
        <v>102</v>
      </c>
    </row>
    <row r="2" customFormat="false" ht="15" hidden="false" customHeight="false" outlineLevel="0" collapsed="false">
      <c r="A2" s="9" t="s">
        <v>103</v>
      </c>
    </row>
    <row r="4" customFormat="false" ht="15" hidden="false" customHeight="false" outlineLevel="0" collapsed="false">
      <c r="A4" s="5" t="s">
        <v>104</v>
      </c>
      <c r="B4" s="5" t="s">
        <v>93</v>
      </c>
      <c r="C4" s="5" t="s">
        <v>94</v>
      </c>
      <c r="D4" s="5" t="s">
        <v>95</v>
      </c>
      <c r="E4" s="5" t="s">
        <v>96</v>
      </c>
    </row>
    <row r="5" customFormat="false" ht="15" hidden="false" customHeight="false" outlineLevel="0" collapsed="false">
      <c r="A5" s="0" t="s">
        <v>105</v>
      </c>
      <c r="B5" s="0" t="n">
        <f aca="false">'2. Konversi ke Nilai'!C4/SQRT(SUMPRODUCT('2. Konversi ke Nilai'!$C$4:$C$23,'2. Konversi ke Nilai'!$C$4:$C$23))</f>
        <v>0.216930457818656</v>
      </c>
      <c r="C5" s="0" t="n">
        <f aca="false">'2. Konversi ke Nilai'!D4/SQRT(SUMPRODUCT('2. Konversi ke Nilai'!$D$4:$D$23,'2. Konversi ke Nilai'!$D$4:$D$23))</f>
        <v>0.156173761888606</v>
      </c>
      <c r="D5" s="0" t="n">
        <f aca="false">'2. Konversi ke Nilai'!E4/SQRT(SUMPRODUCT('2. Konversi ke Nilai'!$E$4:$E$23,'2. Konversi ke Nilai'!$E$4:$E$23))</f>
        <v>0.0638297872340426</v>
      </c>
      <c r="E5" s="0" t="n">
        <f aca="false">'2. Konversi ke Nilai'!F4/SQRT(SUMPRODUCT('2. Konversi ke Nilai'!$F$4:$F$23,'2. Konversi ke Nilai'!$F$4:$F$23))</f>
        <v>0.046984098573494</v>
      </c>
    </row>
    <row r="6" customFormat="false" ht="15" hidden="false" customHeight="false" outlineLevel="0" collapsed="false">
      <c r="A6" s="0" t="s">
        <v>106</v>
      </c>
      <c r="B6" s="0" t="n">
        <f aca="false">'2. Konversi ke Nilai'!C5/SQRT(SUMPRODUCT('2. Konversi ke Nilai'!$C$4:$C$23,'2. Konversi ke Nilai'!$C$4:$C$23))</f>
        <v>0.216930457818656</v>
      </c>
      <c r="C6" s="0" t="n">
        <f aca="false">'2. Konversi ke Nilai'!D5/SQRT(SUMPRODUCT('2. Konversi ke Nilai'!$D$4:$D$23,'2. Konversi ke Nilai'!$D$4:$D$23))</f>
        <v>0.156173761888606</v>
      </c>
      <c r="D6" s="0" t="n">
        <f aca="false">'2. Konversi ke Nilai'!E5/SQRT(SUMPRODUCT('2. Konversi ke Nilai'!$E$4:$E$23,'2. Konversi ke Nilai'!$E$4:$E$23))</f>
        <v>0.0638297872340426</v>
      </c>
      <c r="E6" s="0" t="n">
        <f aca="false">'2. Konversi ke Nilai'!F5/SQRT(SUMPRODUCT('2. Konversi ke Nilai'!$F$4:$F$23,'2. Konversi ke Nilai'!$F$4:$F$23))</f>
        <v>0.046984098573494</v>
      </c>
    </row>
    <row r="7" customFormat="false" ht="15" hidden="false" customHeight="false" outlineLevel="0" collapsed="false">
      <c r="A7" s="0" t="s">
        <v>107</v>
      </c>
      <c r="B7" s="0" t="n">
        <f aca="false">'2. Konversi ke Nilai'!C6/SQRT(SUMPRODUCT('2. Konversi ke Nilai'!$C$4:$C$23,'2. Konversi ke Nilai'!$C$4:$C$23))</f>
        <v>0.325395686727984</v>
      </c>
      <c r="C7" s="0" t="n">
        <f aca="false">'2. Konversi ke Nilai'!D6/SQRT(SUMPRODUCT('2. Konversi ke Nilai'!$D$4:$D$23,'2. Konversi ke Nilai'!$D$4:$D$23))</f>
        <v>0.312347523777212</v>
      </c>
      <c r="D7" s="0" t="n">
        <f aca="false">'2. Konversi ke Nilai'!E6/SQRT(SUMPRODUCT('2. Konversi ke Nilai'!$E$4:$E$23,'2. Konversi ke Nilai'!$E$4:$E$23))</f>
        <v>0.0638297872340426</v>
      </c>
      <c r="E7" s="0" t="n">
        <f aca="false">'2. Konversi ke Nilai'!F6/SQRT(SUMPRODUCT('2. Konversi ke Nilai'!$F$4:$F$23,'2. Konversi ke Nilai'!$F$4:$F$23))</f>
        <v>0.046984098573494</v>
      </c>
    </row>
    <row r="8" customFormat="false" ht="15" hidden="false" customHeight="false" outlineLevel="0" collapsed="false">
      <c r="A8" s="0" t="s">
        <v>108</v>
      </c>
      <c r="B8" s="0" t="n">
        <f aca="false">'2. Konversi ke Nilai'!C7/SQRT(SUMPRODUCT('2. Konversi ke Nilai'!$C$4:$C$23,'2. Konversi ke Nilai'!$C$4:$C$23))</f>
        <v>0.216930457818656</v>
      </c>
      <c r="C8" s="0" t="n">
        <f aca="false">'2. Konversi ke Nilai'!D7/SQRT(SUMPRODUCT('2. Konversi ke Nilai'!$D$4:$D$23,'2. Konversi ke Nilai'!$D$4:$D$23))</f>
        <v>0.156173761888606</v>
      </c>
      <c r="D8" s="0" t="n">
        <f aca="false">'2. Konversi ke Nilai'!E7/SQRT(SUMPRODUCT('2. Konversi ke Nilai'!$E$4:$E$23,'2. Konversi ke Nilai'!$E$4:$E$23))</f>
        <v>0.425531914893617</v>
      </c>
      <c r="E8" s="0" t="n">
        <f aca="false">'2. Konversi ke Nilai'!F7/SQRT(SUMPRODUCT('2. Konversi ke Nilai'!$F$4:$F$23,'2. Konversi ke Nilai'!$F$4:$F$23))</f>
        <v>0.046984098573494</v>
      </c>
    </row>
    <row r="9" customFormat="false" ht="15" hidden="false" customHeight="false" outlineLevel="0" collapsed="false">
      <c r="A9" s="0" t="s">
        <v>109</v>
      </c>
      <c r="B9" s="0" t="n">
        <f aca="false">'2. Konversi ke Nilai'!C8/SQRT(SUMPRODUCT('2. Konversi ke Nilai'!$C$4:$C$23,'2. Konversi ke Nilai'!$C$4:$C$23))</f>
        <v>0.216930457818656</v>
      </c>
      <c r="C9" s="0" t="n">
        <f aca="false">'2. Konversi ke Nilai'!D8/SQRT(SUMPRODUCT('2. Konversi ke Nilai'!$D$4:$D$23,'2. Konversi ke Nilai'!$D$4:$D$23))</f>
        <v>0.156173761888606</v>
      </c>
      <c r="D9" s="0" t="n">
        <f aca="false">'2. Konversi ke Nilai'!E8/SQRT(SUMPRODUCT('2. Konversi ke Nilai'!$E$4:$E$23,'2. Konversi ke Nilai'!$E$4:$E$23))</f>
        <v>0.0638297872340426</v>
      </c>
      <c r="E9" s="0" t="n">
        <f aca="false">'2. Konversi ke Nilai'!F8/SQRT(SUMPRODUCT('2. Konversi ke Nilai'!$F$4:$F$23,'2. Konversi ke Nilai'!$F$4:$F$23))</f>
        <v>0.109629563338153</v>
      </c>
    </row>
    <row r="10" customFormat="false" ht="15" hidden="false" customHeight="false" outlineLevel="0" collapsed="false">
      <c r="A10" s="0" t="s">
        <v>110</v>
      </c>
      <c r="B10" s="0" t="n">
        <f aca="false">'2. Konversi ke Nilai'!C9/SQRT(SUMPRODUCT('2. Konversi ke Nilai'!$C$4:$C$23,'2. Konversi ke Nilai'!$C$4:$C$23))</f>
        <v>0.216930457818656</v>
      </c>
      <c r="C10" s="0" t="n">
        <f aca="false">'2. Konversi ke Nilai'!D9/SQRT(SUMPRODUCT('2. Konversi ke Nilai'!$D$4:$D$23,'2. Konversi ke Nilai'!$D$4:$D$23))</f>
        <v>0.156173761888606</v>
      </c>
      <c r="D10" s="0" t="n">
        <f aca="false">'2. Konversi ke Nilai'!E9/SQRT(SUMPRODUCT('2. Konversi ke Nilai'!$E$4:$E$23,'2. Konversi ke Nilai'!$E$4:$E$23))</f>
        <v>0.0638297872340426</v>
      </c>
      <c r="E10" s="0" t="n">
        <f aca="false">'2. Konversi ke Nilai'!F9/SQRT(SUMPRODUCT('2. Konversi ke Nilai'!$F$4:$F$23,'2. Konversi ke Nilai'!$F$4:$F$23))</f>
        <v>0.109629563338153</v>
      </c>
    </row>
    <row r="11" customFormat="false" ht="15" hidden="false" customHeight="false" outlineLevel="0" collapsed="false">
      <c r="A11" s="0" t="s">
        <v>111</v>
      </c>
      <c r="B11" s="0" t="n">
        <f aca="false">'2. Konversi ke Nilai'!C10/SQRT(SUMPRODUCT('2. Konversi ke Nilai'!$C$4:$C$23,'2. Konversi ke Nilai'!$C$4:$C$23))</f>
        <v>0.216930457818656</v>
      </c>
      <c r="C11" s="0" t="n">
        <f aca="false">'2. Konversi ke Nilai'!D10/SQRT(SUMPRODUCT('2. Konversi ke Nilai'!$D$4:$D$23,'2. Konversi ke Nilai'!$D$4:$D$23))</f>
        <v>0.156173761888606</v>
      </c>
      <c r="D11" s="0" t="n">
        <f aca="false">'2. Konversi ke Nilai'!E10/SQRT(SUMPRODUCT('2. Konversi ke Nilai'!$E$4:$E$23,'2. Konversi ke Nilai'!$E$4:$E$23))</f>
        <v>0.0638297872340426</v>
      </c>
      <c r="E11" s="0" t="n">
        <f aca="false">'2. Konversi ke Nilai'!F10/SQRT(SUMPRODUCT('2. Konversi ke Nilai'!$F$4:$F$23,'2. Konversi ke Nilai'!$F$4:$F$23))</f>
        <v>0.109629563338153</v>
      </c>
    </row>
    <row r="12" customFormat="false" ht="15" hidden="false" customHeight="false" outlineLevel="0" collapsed="false">
      <c r="A12" s="0" t="s">
        <v>112</v>
      </c>
      <c r="B12" s="0" t="n">
        <f aca="false">'2. Konversi ke Nilai'!C11/SQRT(SUMPRODUCT('2. Konversi ke Nilai'!$C$4:$C$23,'2. Konversi ke Nilai'!$C$4:$C$23))</f>
        <v>0.216930457818656</v>
      </c>
      <c r="C12" s="0" t="n">
        <f aca="false">'2. Konversi ke Nilai'!D11/SQRT(SUMPRODUCT('2. Konversi ke Nilai'!$D$4:$D$23,'2. Konversi ke Nilai'!$D$4:$D$23))</f>
        <v>0.156173761888606</v>
      </c>
      <c r="D12" s="0" t="n">
        <f aca="false">'2. Konversi ke Nilai'!E11/SQRT(SUMPRODUCT('2. Konversi ke Nilai'!$E$4:$E$23,'2. Konversi ke Nilai'!$E$4:$E$23))</f>
        <v>0.0638297872340426</v>
      </c>
      <c r="E12" s="0" t="n">
        <f aca="false">'2. Konversi ke Nilai'!F11/SQRT(SUMPRODUCT('2. Konversi ke Nilai'!$F$4:$F$23,'2. Konversi ke Nilai'!$F$4:$F$23))</f>
        <v>0.109629563338153</v>
      </c>
    </row>
    <row r="13" customFormat="false" ht="15" hidden="false" customHeight="false" outlineLevel="0" collapsed="false">
      <c r="A13" s="0" t="s">
        <v>113</v>
      </c>
      <c r="B13" s="0" t="n">
        <f aca="false">'2. Konversi ke Nilai'!C12/SQRT(SUMPRODUCT('2. Konversi ke Nilai'!$C$4:$C$23,'2. Konversi ke Nilai'!$C$4:$C$23))</f>
        <v>0.216930457818656</v>
      </c>
      <c r="C13" s="0" t="n">
        <f aca="false">'2. Konversi ke Nilai'!D12/SQRT(SUMPRODUCT('2. Konversi ke Nilai'!$D$4:$D$23,'2. Konversi ke Nilai'!$D$4:$D$23))</f>
        <v>0.156173761888606</v>
      </c>
      <c r="D13" s="0" t="n">
        <f aca="false">'2. Konversi ke Nilai'!E12/SQRT(SUMPRODUCT('2. Konversi ke Nilai'!$E$4:$E$23,'2. Konversi ke Nilai'!$E$4:$E$23))</f>
        <v>0.0638297872340426</v>
      </c>
      <c r="E13" s="0" t="n">
        <f aca="false">'2. Konversi ke Nilai'!F12/SQRT(SUMPRODUCT('2. Konversi ke Nilai'!$F$4:$F$23,'2. Konversi ke Nilai'!$F$4:$F$23))</f>
        <v>0.109629563338153</v>
      </c>
    </row>
    <row r="14" customFormat="false" ht="15" hidden="false" customHeight="false" outlineLevel="0" collapsed="false">
      <c r="A14" s="0" t="s">
        <v>114</v>
      </c>
      <c r="B14" s="0" t="n">
        <f aca="false">'2. Konversi ke Nilai'!C13/SQRT(SUMPRODUCT('2. Konversi ke Nilai'!$C$4:$C$23,'2. Konversi ke Nilai'!$C$4:$C$23))</f>
        <v>0.216930457818656</v>
      </c>
      <c r="C14" s="0" t="n">
        <f aca="false">'2. Konversi ke Nilai'!D13/SQRT(SUMPRODUCT('2. Konversi ke Nilai'!$D$4:$D$23,'2. Konversi ke Nilai'!$D$4:$D$23))</f>
        <v>0.156173761888606</v>
      </c>
      <c r="D14" s="0" t="n">
        <f aca="false">'2. Konversi ke Nilai'!E13/SQRT(SUMPRODUCT('2. Konversi ke Nilai'!$E$4:$E$23,'2. Konversi ke Nilai'!$E$4:$E$23))</f>
        <v>0.0638297872340426</v>
      </c>
      <c r="E14" s="0" t="n">
        <f aca="false">'2. Konversi ke Nilai'!F13/SQRT(SUMPRODUCT('2. Konversi ke Nilai'!$F$4:$F$23,'2. Konversi ke Nilai'!$F$4:$F$23))</f>
        <v>0.109629563338153</v>
      </c>
    </row>
    <row r="15" customFormat="false" ht="15" hidden="false" customHeight="false" outlineLevel="0" collapsed="false">
      <c r="A15" s="0" t="s">
        <v>115</v>
      </c>
      <c r="B15" s="0" t="n">
        <f aca="false">'2. Konversi ke Nilai'!C14/SQRT(SUMPRODUCT('2. Konversi ke Nilai'!$C$4:$C$23,'2. Konversi ke Nilai'!$C$4:$C$23))</f>
        <v>0.216930457818656</v>
      </c>
      <c r="C15" s="0" t="n">
        <f aca="false">'2. Konversi ke Nilai'!D14/SQRT(SUMPRODUCT('2. Konversi ke Nilai'!$D$4:$D$23,'2. Konversi ke Nilai'!$D$4:$D$23))</f>
        <v>0.156173761888606</v>
      </c>
      <c r="D15" s="0" t="n">
        <f aca="false">'2. Konversi ke Nilai'!E14/SQRT(SUMPRODUCT('2. Konversi ke Nilai'!$E$4:$E$23,'2. Konversi ke Nilai'!$E$4:$E$23))</f>
        <v>0.297872340425532</v>
      </c>
      <c r="E15" s="0" t="n">
        <f aca="false">'2. Konversi ke Nilai'!F14/SQRT(SUMPRODUCT('2. Konversi ke Nilai'!$F$4:$F$23,'2. Konversi ke Nilai'!$F$4:$F$23))</f>
        <v>0.109629563338153</v>
      </c>
    </row>
    <row r="16" customFormat="false" ht="15" hidden="false" customHeight="false" outlineLevel="0" collapsed="false">
      <c r="A16" s="0" t="s">
        <v>116</v>
      </c>
      <c r="B16" s="0" t="n">
        <f aca="false">'2. Konversi ke Nilai'!C15/SQRT(SUMPRODUCT('2. Konversi ke Nilai'!$C$4:$C$23,'2. Konversi ke Nilai'!$C$4:$C$23))</f>
        <v>0.216930457818656</v>
      </c>
      <c r="C16" s="0" t="n">
        <f aca="false">'2. Konversi ke Nilai'!D15/SQRT(SUMPRODUCT('2. Konversi ke Nilai'!$D$4:$D$23,'2. Konversi ke Nilai'!$D$4:$D$23))</f>
        <v>0.156173761888606</v>
      </c>
      <c r="D16" s="0" t="n">
        <f aca="false">'2. Konversi ke Nilai'!E15/SQRT(SUMPRODUCT('2. Konversi ke Nilai'!$E$4:$E$23,'2. Konversi ke Nilai'!$E$4:$E$23))</f>
        <v>0.212765957446809</v>
      </c>
      <c r="E16" s="0" t="n">
        <f aca="false">'2. Konversi ke Nilai'!F15/SQRT(SUMPRODUCT('2. Konversi ke Nilai'!$F$4:$F$23,'2. Konversi ke Nilai'!$F$4:$F$23))</f>
        <v>0.109629563338153</v>
      </c>
    </row>
    <row r="17" customFormat="false" ht="15" hidden="false" customHeight="false" outlineLevel="0" collapsed="false">
      <c r="A17" s="0" t="s">
        <v>117</v>
      </c>
      <c r="B17" s="0" t="n">
        <f aca="false">'2. Konversi ke Nilai'!C16/SQRT(SUMPRODUCT('2. Konversi ke Nilai'!$C$4:$C$23,'2. Konversi ke Nilai'!$C$4:$C$23))</f>
        <v>0.216930457818656</v>
      </c>
      <c r="C17" s="0" t="n">
        <f aca="false">'2. Konversi ke Nilai'!D16/SQRT(SUMPRODUCT('2. Konversi ke Nilai'!$D$4:$D$23,'2. Konversi ke Nilai'!$D$4:$D$23))</f>
        <v>0.156173761888606</v>
      </c>
      <c r="D17" s="0" t="n">
        <f aca="false">'2. Konversi ke Nilai'!E16/SQRT(SUMPRODUCT('2. Konversi ke Nilai'!$E$4:$E$23,'2. Konversi ke Nilai'!$E$4:$E$23))</f>
        <v>0.425531914893617</v>
      </c>
      <c r="E17" s="0" t="n">
        <f aca="false">'2. Konversi ke Nilai'!F16/SQRT(SUMPRODUCT('2. Konversi ke Nilai'!$F$4:$F$23,'2. Konversi ke Nilai'!$F$4:$F$23))</f>
        <v>0.109629563338153</v>
      </c>
    </row>
    <row r="18" customFormat="false" ht="15" hidden="false" customHeight="false" outlineLevel="0" collapsed="false">
      <c r="A18" s="0" t="s">
        <v>118</v>
      </c>
      <c r="B18" s="0" t="n">
        <f aca="false">'2. Konversi ke Nilai'!C17/SQRT(SUMPRODUCT('2. Konversi ke Nilai'!$C$4:$C$23,'2. Konversi ke Nilai'!$C$4:$C$23))</f>
        <v>0.216930457818656</v>
      </c>
      <c r="C18" s="0" t="n">
        <f aca="false">'2. Konversi ke Nilai'!D17/SQRT(SUMPRODUCT('2. Konversi ke Nilai'!$D$4:$D$23,'2. Konversi ke Nilai'!$D$4:$D$23))</f>
        <v>0.312347523777212</v>
      </c>
      <c r="D18" s="0" t="n">
        <f aca="false">'2. Konversi ke Nilai'!E17/SQRT(SUMPRODUCT('2. Konversi ke Nilai'!$E$4:$E$23,'2. Konversi ke Nilai'!$E$4:$E$23))</f>
        <v>0.0638297872340426</v>
      </c>
      <c r="E18" s="0" t="n">
        <f aca="false">'2. Konversi ke Nilai'!F17/SQRT(SUMPRODUCT('2. Konversi ke Nilai'!$F$4:$F$23,'2. Konversi ke Nilai'!$F$4:$F$23))</f>
        <v>0.23492049286747</v>
      </c>
    </row>
    <row r="19" customFormat="false" ht="15" hidden="false" customHeight="false" outlineLevel="0" collapsed="false">
      <c r="A19" s="0" t="s">
        <v>119</v>
      </c>
      <c r="B19" s="0" t="n">
        <f aca="false">'2. Konversi ke Nilai'!C18/SQRT(SUMPRODUCT('2. Konversi ke Nilai'!$C$4:$C$23,'2. Konversi ke Nilai'!$C$4:$C$23))</f>
        <v>0.216930457818656</v>
      </c>
      <c r="C19" s="0" t="n">
        <f aca="false">'2. Konversi ke Nilai'!D18/SQRT(SUMPRODUCT('2. Konversi ke Nilai'!$D$4:$D$23,'2. Konversi ke Nilai'!$D$4:$D$23))</f>
        <v>0.312347523777212</v>
      </c>
      <c r="D19" s="0" t="n">
        <f aca="false">'2. Konversi ke Nilai'!E18/SQRT(SUMPRODUCT('2. Konversi ke Nilai'!$E$4:$E$23,'2. Konversi ke Nilai'!$E$4:$E$23))</f>
        <v>0.0638297872340426</v>
      </c>
      <c r="E19" s="0" t="n">
        <f aca="false">'2. Konversi ke Nilai'!F18/SQRT(SUMPRODUCT('2. Konversi ke Nilai'!$F$4:$F$23,'2. Konversi ke Nilai'!$F$4:$F$23))</f>
        <v>0.23492049286747</v>
      </c>
    </row>
    <row r="20" customFormat="false" ht="15" hidden="false" customHeight="false" outlineLevel="0" collapsed="false">
      <c r="A20" s="0" t="s">
        <v>120</v>
      </c>
      <c r="B20" s="0" t="n">
        <f aca="false">'2. Konversi ke Nilai'!C19/SQRT(SUMPRODUCT('2. Konversi ke Nilai'!$C$4:$C$23,'2. Konversi ke Nilai'!$C$4:$C$23))</f>
        <v>0.216930457818656</v>
      </c>
      <c r="C20" s="0" t="n">
        <f aca="false">'2. Konversi ke Nilai'!D19/SQRT(SUMPRODUCT('2. Konversi ke Nilai'!$D$4:$D$23,'2. Konversi ke Nilai'!$D$4:$D$23))</f>
        <v>0.156173761888606</v>
      </c>
      <c r="D20" s="0" t="n">
        <f aca="false">'2. Konversi ke Nilai'!E19/SQRT(SUMPRODUCT('2. Konversi ke Nilai'!$E$4:$E$23,'2. Konversi ke Nilai'!$E$4:$E$23))</f>
        <v>0.0638297872340426</v>
      </c>
      <c r="E20" s="0" t="n">
        <f aca="false">'2. Konversi ke Nilai'!F19/SQRT(SUMPRODUCT('2. Konversi ke Nilai'!$F$4:$F$23,'2. Konversi ke Nilai'!$F$4:$F$23))</f>
        <v>0.23492049286747</v>
      </c>
    </row>
    <row r="21" customFormat="false" ht="15" hidden="false" customHeight="false" outlineLevel="0" collapsed="false">
      <c r="A21" s="0" t="s">
        <v>121</v>
      </c>
      <c r="B21" s="0" t="n">
        <f aca="false">'2. Konversi ke Nilai'!C20/SQRT(SUMPRODUCT('2. Konversi ke Nilai'!$C$4:$C$23,'2. Konversi ke Nilai'!$C$4:$C$23))</f>
        <v>0.216930457818656</v>
      </c>
      <c r="C21" s="0" t="n">
        <f aca="false">'2. Konversi ke Nilai'!D20/SQRT(SUMPRODUCT('2. Konversi ke Nilai'!$D$4:$D$23,'2. Konversi ke Nilai'!$D$4:$D$23))</f>
        <v>0.312347523777212</v>
      </c>
      <c r="D21" s="0" t="n">
        <f aca="false">'2. Konversi ke Nilai'!E20/SQRT(SUMPRODUCT('2. Konversi ke Nilai'!$E$4:$E$23,'2. Konversi ke Nilai'!$E$4:$E$23))</f>
        <v>0.425531914893617</v>
      </c>
      <c r="E21" s="0" t="n">
        <f aca="false">'2. Konversi ke Nilai'!F20/SQRT(SUMPRODUCT('2. Konversi ke Nilai'!$F$4:$F$23,'2. Konversi ke Nilai'!$F$4:$F$23))</f>
        <v>0.23492049286747</v>
      </c>
    </row>
    <row r="22" customFormat="false" ht="15" hidden="false" customHeight="false" outlineLevel="0" collapsed="false">
      <c r="A22" s="0" t="s">
        <v>122</v>
      </c>
      <c r="B22" s="0" t="n">
        <f aca="false">'2. Konversi ke Nilai'!C21/SQRT(SUMPRODUCT('2. Konversi ke Nilai'!$C$4:$C$23,'2. Konversi ke Nilai'!$C$4:$C$23))</f>
        <v>0.216930457818656</v>
      </c>
      <c r="C22" s="0" t="n">
        <f aca="false">'2. Konversi ke Nilai'!D21/SQRT(SUMPRODUCT('2. Konversi ke Nilai'!$D$4:$D$23,'2. Konversi ke Nilai'!$D$4:$D$23))</f>
        <v>0.312347523777212</v>
      </c>
      <c r="D22" s="0" t="n">
        <f aca="false">'2. Konversi ke Nilai'!E21/SQRT(SUMPRODUCT('2. Konversi ke Nilai'!$E$4:$E$23,'2. Konversi ke Nilai'!$E$4:$E$23))</f>
        <v>0.425531914893617</v>
      </c>
      <c r="E22" s="0" t="n">
        <f aca="false">'2. Konversi ke Nilai'!F21/SQRT(SUMPRODUCT('2. Konversi ke Nilai'!$F$4:$F$23,'2. Konversi ke Nilai'!$F$4:$F$23))</f>
        <v>0.46984098573494</v>
      </c>
    </row>
    <row r="23" customFormat="false" ht="15" hidden="false" customHeight="false" outlineLevel="0" collapsed="false">
      <c r="A23" s="0" t="s">
        <v>123</v>
      </c>
      <c r="B23" s="0" t="n">
        <f aca="false">'2. Konversi ke Nilai'!C22/SQRT(SUMPRODUCT('2. Konversi ke Nilai'!$C$4:$C$23,'2. Konversi ke Nilai'!$C$4:$C$23))</f>
        <v>0.216930457818656</v>
      </c>
      <c r="C23" s="0" t="n">
        <f aca="false">'2. Konversi ke Nilai'!D22/SQRT(SUMPRODUCT('2. Konversi ke Nilai'!$D$4:$D$23,'2. Konversi ke Nilai'!$D$4:$D$23))</f>
        <v>0.312347523777212</v>
      </c>
      <c r="D23" s="0" t="n">
        <f aca="false">'2. Konversi ke Nilai'!E22/SQRT(SUMPRODUCT('2. Konversi ke Nilai'!$E$4:$E$23,'2. Konversi ke Nilai'!$E$4:$E$23))</f>
        <v>0.297872340425532</v>
      </c>
      <c r="E23" s="0" t="n">
        <f aca="false">'2. Konversi ke Nilai'!F22/SQRT(SUMPRODUCT('2. Konversi ke Nilai'!$F$4:$F$23,'2. Konversi ke Nilai'!$F$4:$F$23))</f>
        <v>0.46984098573494</v>
      </c>
    </row>
    <row r="24" customFormat="false" ht="15" hidden="false" customHeight="false" outlineLevel="0" collapsed="false">
      <c r="A24" s="0" t="s">
        <v>124</v>
      </c>
      <c r="B24" s="0" t="n">
        <f aca="false">'2. Konversi ke Nilai'!C23/SQRT(SUMPRODUCT('2. Konversi ke Nilai'!$C$4:$C$23,'2. Konversi ke Nilai'!$C$4:$C$23))</f>
        <v>0.216930457818656</v>
      </c>
      <c r="C24" s="0" t="n">
        <f aca="false">'2. Konversi ke Nilai'!D23/SQRT(SUMPRODUCT('2. Konversi ke Nilai'!$D$4:$D$23,'2. Konversi ke Nilai'!$D$4:$D$23))</f>
        <v>0.312347523777212</v>
      </c>
      <c r="D24" s="0" t="n">
        <f aca="false">'2. Konversi ke Nilai'!E23/SQRT(SUMPRODUCT('2. Konversi ke Nilai'!$E$4:$E$23,'2. Konversi ke Nilai'!$E$4:$E$23))</f>
        <v>0.0638297872340426</v>
      </c>
      <c r="E24" s="0" t="n">
        <f aca="false">'2. Konversi ke Nilai'!F23/SQRT(SUMPRODUCT('2. Konversi ke Nilai'!$F$4:$F$23,'2. Konversi ke Nilai'!$F$4:$F$23))</f>
        <v>0.46984098573494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5" min="2" style="0" width="50"/>
  </cols>
  <sheetData>
    <row r="1" customFormat="false" ht="17.35" hidden="false" customHeight="false" outlineLevel="0" collapsed="false">
      <c r="A1" s="4" t="s">
        <v>125</v>
      </c>
    </row>
    <row r="2" customFormat="false" ht="15" hidden="false" customHeight="false" outlineLevel="0" collapsed="false">
      <c r="A2" s="9" t="s">
        <v>126</v>
      </c>
    </row>
    <row r="4" customFormat="false" ht="15" hidden="false" customHeight="false" outlineLevel="0" collapsed="false">
      <c r="A4" s="5" t="s">
        <v>104</v>
      </c>
      <c r="B4" s="5" t="s">
        <v>93</v>
      </c>
      <c r="C4" s="5" t="s">
        <v>94</v>
      </c>
      <c r="D4" s="5" t="s">
        <v>95</v>
      </c>
      <c r="E4" s="5" t="s">
        <v>96</v>
      </c>
    </row>
    <row r="5" customFormat="false" ht="15" hidden="false" customHeight="false" outlineLevel="0" collapsed="false">
      <c r="A5" s="0" t="s">
        <v>105</v>
      </c>
      <c r="B5" s="0" t="n">
        <f aca="false">'4. Normalisasi'!B5*'3. Bobot &amp; Kriteria'!$B$5</f>
        <v>0.054232614454664</v>
      </c>
      <c r="C5" s="0" t="n">
        <f aca="false">'4. Normalisasi'!C5*'3. Bobot &amp; Kriteria'!$C$5</f>
        <v>0.0390434404721515</v>
      </c>
      <c r="D5" s="0" t="n">
        <f aca="false">'4. Normalisasi'!D5*'3. Bobot &amp; Kriteria'!$D$5</f>
        <v>0.0159574468085106</v>
      </c>
      <c r="E5" s="0" t="n">
        <f aca="false">'4. Normalisasi'!E5*'3. Bobot &amp; Kriteria'!$E$5</f>
        <v>0.0117460246433735</v>
      </c>
    </row>
    <row r="6" customFormat="false" ht="15" hidden="false" customHeight="false" outlineLevel="0" collapsed="false">
      <c r="A6" s="0" t="s">
        <v>106</v>
      </c>
      <c r="B6" s="0" t="n">
        <f aca="false">'4. Normalisasi'!B6*'3. Bobot &amp; Kriteria'!$B$5</f>
        <v>0.054232614454664</v>
      </c>
      <c r="C6" s="0" t="n">
        <f aca="false">'4. Normalisasi'!C6*'3. Bobot &amp; Kriteria'!$C$5</f>
        <v>0.0390434404721515</v>
      </c>
      <c r="D6" s="0" t="n">
        <f aca="false">'4. Normalisasi'!D6*'3. Bobot &amp; Kriteria'!$D$5</f>
        <v>0.0159574468085106</v>
      </c>
      <c r="E6" s="0" t="n">
        <f aca="false">'4. Normalisasi'!E6*'3. Bobot &amp; Kriteria'!$E$5</f>
        <v>0.0117460246433735</v>
      </c>
    </row>
    <row r="7" customFormat="false" ht="15" hidden="false" customHeight="false" outlineLevel="0" collapsed="false">
      <c r="A7" s="0" t="s">
        <v>107</v>
      </c>
      <c r="B7" s="0" t="n">
        <f aca="false">'4. Normalisasi'!B7*'3. Bobot &amp; Kriteria'!$B$5</f>
        <v>0.0813489216819961</v>
      </c>
      <c r="C7" s="0" t="n">
        <f aca="false">'4. Normalisasi'!C7*'3. Bobot &amp; Kriteria'!$C$5</f>
        <v>0.078086880944303</v>
      </c>
      <c r="D7" s="0" t="n">
        <f aca="false">'4. Normalisasi'!D7*'3. Bobot &amp; Kriteria'!$D$5</f>
        <v>0.0159574468085106</v>
      </c>
      <c r="E7" s="0" t="n">
        <f aca="false">'4. Normalisasi'!E7*'3. Bobot &amp; Kriteria'!$E$5</f>
        <v>0.0117460246433735</v>
      </c>
    </row>
    <row r="8" customFormat="false" ht="15" hidden="false" customHeight="false" outlineLevel="0" collapsed="false">
      <c r="A8" s="0" t="s">
        <v>108</v>
      </c>
      <c r="B8" s="0" t="n">
        <f aca="false">'4. Normalisasi'!B8*'3. Bobot &amp; Kriteria'!$B$5</f>
        <v>0.054232614454664</v>
      </c>
      <c r="C8" s="0" t="n">
        <f aca="false">'4. Normalisasi'!C8*'3. Bobot &amp; Kriteria'!$C$5</f>
        <v>0.0390434404721515</v>
      </c>
      <c r="D8" s="0" t="n">
        <f aca="false">'4. Normalisasi'!D8*'3. Bobot &amp; Kriteria'!$D$5</f>
        <v>0.106382978723404</v>
      </c>
      <c r="E8" s="0" t="n">
        <f aca="false">'4. Normalisasi'!E8*'3. Bobot &amp; Kriteria'!$E$5</f>
        <v>0.0117460246433735</v>
      </c>
    </row>
    <row r="9" customFormat="false" ht="15" hidden="false" customHeight="false" outlineLevel="0" collapsed="false">
      <c r="A9" s="0" t="s">
        <v>109</v>
      </c>
      <c r="B9" s="0" t="n">
        <f aca="false">'4. Normalisasi'!B9*'3. Bobot &amp; Kriteria'!$B$5</f>
        <v>0.054232614454664</v>
      </c>
      <c r="C9" s="0" t="n">
        <f aca="false">'4. Normalisasi'!C9*'3. Bobot &amp; Kriteria'!$C$5</f>
        <v>0.0390434404721515</v>
      </c>
      <c r="D9" s="0" t="n">
        <f aca="false">'4. Normalisasi'!D9*'3. Bobot &amp; Kriteria'!$D$5</f>
        <v>0.0159574468085106</v>
      </c>
      <c r="E9" s="0" t="n">
        <f aca="false">'4. Normalisasi'!E9*'3. Bobot &amp; Kriteria'!$E$5</f>
        <v>0.0274073908345381</v>
      </c>
    </row>
    <row r="10" customFormat="false" ht="15" hidden="false" customHeight="false" outlineLevel="0" collapsed="false">
      <c r="A10" s="0" t="s">
        <v>110</v>
      </c>
      <c r="B10" s="0" t="n">
        <f aca="false">'4. Normalisasi'!B10*'3. Bobot &amp; Kriteria'!$B$5</f>
        <v>0.054232614454664</v>
      </c>
      <c r="C10" s="0" t="n">
        <f aca="false">'4. Normalisasi'!C10*'3. Bobot &amp; Kriteria'!$C$5</f>
        <v>0.0390434404721515</v>
      </c>
      <c r="D10" s="0" t="n">
        <f aca="false">'4. Normalisasi'!D10*'3. Bobot &amp; Kriteria'!$D$5</f>
        <v>0.0159574468085106</v>
      </c>
      <c r="E10" s="0" t="n">
        <f aca="false">'4. Normalisasi'!E10*'3. Bobot &amp; Kriteria'!$E$5</f>
        <v>0.0274073908345381</v>
      </c>
    </row>
    <row r="11" customFormat="false" ht="15" hidden="false" customHeight="false" outlineLevel="0" collapsed="false">
      <c r="A11" s="0" t="s">
        <v>111</v>
      </c>
      <c r="B11" s="0" t="n">
        <f aca="false">'4. Normalisasi'!B11*'3. Bobot &amp; Kriteria'!$B$5</f>
        <v>0.054232614454664</v>
      </c>
      <c r="C11" s="0" t="n">
        <f aca="false">'4. Normalisasi'!C11*'3. Bobot &amp; Kriteria'!$C$5</f>
        <v>0.0390434404721515</v>
      </c>
      <c r="D11" s="0" t="n">
        <f aca="false">'4. Normalisasi'!D11*'3. Bobot &amp; Kriteria'!$D$5</f>
        <v>0.0159574468085106</v>
      </c>
      <c r="E11" s="0" t="n">
        <f aca="false">'4. Normalisasi'!E11*'3. Bobot &amp; Kriteria'!$E$5</f>
        <v>0.0274073908345381</v>
      </c>
    </row>
    <row r="12" customFormat="false" ht="15" hidden="false" customHeight="false" outlineLevel="0" collapsed="false">
      <c r="A12" s="0" t="s">
        <v>112</v>
      </c>
      <c r="B12" s="0" t="n">
        <f aca="false">'4. Normalisasi'!B12*'3. Bobot &amp; Kriteria'!$B$5</f>
        <v>0.054232614454664</v>
      </c>
      <c r="C12" s="0" t="n">
        <f aca="false">'4. Normalisasi'!C12*'3. Bobot &amp; Kriteria'!$C$5</f>
        <v>0.0390434404721515</v>
      </c>
      <c r="D12" s="0" t="n">
        <f aca="false">'4. Normalisasi'!D12*'3. Bobot &amp; Kriteria'!$D$5</f>
        <v>0.0159574468085106</v>
      </c>
      <c r="E12" s="0" t="n">
        <f aca="false">'4. Normalisasi'!E12*'3. Bobot &amp; Kriteria'!$E$5</f>
        <v>0.0274073908345381</v>
      </c>
    </row>
    <row r="13" customFormat="false" ht="15" hidden="false" customHeight="false" outlineLevel="0" collapsed="false">
      <c r="A13" s="0" t="s">
        <v>113</v>
      </c>
      <c r="B13" s="0" t="n">
        <f aca="false">'4. Normalisasi'!B13*'3. Bobot &amp; Kriteria'!$B$5</f>
        <v>0.054232614454664</v>
      </c>
      <c r="C13" s="0" t="n">
        <f aca="false">'4. Normalisasi'!C13*'3. Bobot &amp; Kriteria'!$C$5</f>
        <v>0.0390434404721515</v>
      </c>
      <c r="D13" s="0" t="n">
        <f aca="false">'4. Normalisasi'!D13*'3. Bobot &amp; Kriteria'!$D$5</f>
        <v>0.0159574468085106</v>
      </c>
      <c r="E13" s="0" t="n">
        <f aca="false">'4. Normalisasi'!E13*'3. Bobot &amp; Kriteria'!$E$5</f>
        <v>0.0274073908345381</v>
      </c>
    </row>
    <row r="14" customFormat="false" ht="15" hidden="false" customHeight="false" outlineLevel="0" collapsed="false">
      <c r="A14" s="0" t="s">
        <v>114</v>
      </c>
      <c r="B14" s="0" t="n">
        <f aca="false">'4. Normalisasi'!B14*'3. Bobot &amp; Kriteria'!$B$5</f>
        <v>0.054232614454664</v>
      </c>
      <c r="C14" s="0" t="n">
        <f aca="false">'4. Normalisasi'!C14*'3. Bobot &amp; Kriteria'!$C$5</f>
        <v>0.0390434404721515</v>
      </c>
      <c r="D14" s="0" t="n">
        <f aca="false">'4. Normalisasi'!D14*'3. Bobot &amp; Kriteria'!$D$5</f>
        <v>0.0159574468085106</v>
      </c>
      <c r="E14" s="0" t="n">
        <f aca="false">'4. Normalisasi'!E14*'3. Bobot &amp; Kriteria'!$E$5</f>
        <v>0.0274073908345381</v>
      </c>
    </row>
    <row r="15" customFormat="false" ht="15" hidden="false" customHeight="false" outlineLevel="0" collapsed="false">
      <c r="A15" s="0" t="s">
        <v>115</v>
      </c>
      <c r="B15" s="0" t="n">
        <f aca="false">'4. Normalisasi'!B15*'3. Bobot &amp; Kriteria'!$B$5</f>
        <v>0.054232614454664</v>
      </c>
      <c r="C15" s="0" t="n">
        <f aca="false">'4. Normalisasi'!C15*'3. Bobot &amp; Kriteria'!$C$5</f>
        <v>0.0390434404721515</v>
      </c>
      <c r="D15" s="0" t="n">
        <f aca="false">'4. Normalisasi'!D15*'3. Bobot &amp; Kriteria'!$D$5</f>
        <v>0.074468085106383</v>
      </c>
      <c r="E15" s="0" t="n">
        <f aca="false">'4. Normalisasi'!E15*'3. Bobot &amp; Kriteria'!$E$5</f>
        <v>0.0274073908345381</v>
      </c>
    </row>
    <row r="16" customFormat="false" ht="15" hidden="false" customHeight="false" outlineLevel="0" collapsed="false">
      <c r="A16" s="0" t="s">
        <v>116</v>
      </c>
      <c r="B16" s="0" t="n">
        <f aca="false">'4. Normalisasi'!B16*'3. Bobot &amp; Kriteria'!$B$5</f>
        <v>0.054232614454664</v>
      </c>
      <c r="C16" s="0" t="n">
        <f aca="false">'4. Normalisasi'!C16*'3. Bobot &amp; Kriteria'!$C$5</f>
        <v>0.0390434404721515</v>
      </c>
      <c r="D16" s="0" t="n">
        <f aca="false">'4. Normalisasi'!D16*'3. Bobot &amp; Kriteria'!$D$5</f>
        <v>0.0531914893617021</v>
      </c>
      <c r="E16" s="0" t="n">
        <f aca="false">'4. Normalisasi'!E16*'3. Bobot &amp; Kriteria'!$E$5</f>
        <v>0.0274073908345381</v>
      </c>
    </row>
    <row r="17" customFormat="false" ht="15" hidden="false" customHeight="false" outlineLevel="0" collapsed="false">
      <c r="A17" s="0" t="s">
        <v>117</v>
      </c>
      <c r="B17" s="0" t="n">
        <f aca="false">'4. Normalisasi'!B17*'3. Bobot &amp; Kriteria'!$B$5</f>
        <v>0.054232614454664</v>
      </c>
      <c r="C17" s="0" t="n">
        <f aca="false">'4. Normalisasi'!C17*'3. Bobot &amp; Kriteria'!$C$5</f>
        <v>0.0390434404721515</v>
      </c>
      <c r="D17" s="0" t="n">
        <f aca="false">'4. Normalisasi'!D17*'3. Bobot &amp; Kriteria'!$D$5</f>
        <v>0.106382978723404</v>
      </c>
      <c r="E17" s="0" t="n">
        <f aca="false">'4. Normalisasi'!E17*'3. Bobot &amp; Kriteria'!$E$5</f>
        <v>0.0274073908345381</v>
      </c>
    </row>
    <row r="18" customFormat="false" ht="15" hidden="false" customHeight="false" outlineLevel="0" collapsed="false">
      <c r="A18" s="0" t="s">
        <v>118</v>
      </c>
      <c r="B18" s="0" t="n">
        <f aca="false">'4. Normalisasi'!B18*'3. Bobot &amp; Kriteria'!$B$5</f>
        <v>0.054232614454664</v>
      </c>
      <c r="C18" s="0" t="n">
        <f aca="false">'4. Normalisasi'!C18*'3. Bobot &amp; Kriteria'!$C$5</f>
        <v>0.078086880944303</v>
      </c>
      <c r="D18" s="0" t="n">
        <f aca="false">'4. Normalisasi'!D18*'3. Bobot &amp; Kriteria'!$D$5</f>
        <v>0.0159574468085106</v>
      </c>
      <c r="E18" s="0" t="n">
        <f aca="false">'4. Normalisasi'!E18*'3. Bobot &amp; Kriteria'!$E$5</f>
        <v>0.0587301232168674</v>
      </c>
    </row>
    <row r="19" customFormat="false" ht="15" hidden="false" customHeight="false" outlineLevel="0" collapsed="false">
      <c r="A19" s="0" t="s">
        <v>119</v>
      </c>
      <c r="B19" s="0" t="n">
        <f aca="false">'4. Normalisasi'!B19*'3. Bobot &amp; Kriteria'!$B$5</f>
        <v>0.054232614454664</v>
      </c>
      <c r="C19" s="0" t="n">
        <f aca="false">'4. Normalisasi'!C19*'3. Bobot &amp; Kriteria'!$C$5</f>
        <v>0.078086880944303</v>
      </c>
      <c r="D19" s="0" t="n">
        <f aca="false">'4. Normalisasi'!D19*'3. Bobot &amp; Kriteria'!$D$5</f>
        <v>0.0159574468085106</v>
      </c>
      <c r="E19" s="0" t="n">
        <f aca="false">'4. Normalisasi'!E19*'3. Bobot &amp; Kriteria'!$E$5</f>
        <v>0.0587301232168674</v>
      </c>
    </row>
    <row r="20" customFormat="false" ht="15" hidden="false" customHeight="false" outlineLevel="0" collapsed="false">
      <c r="A20" s="0" t="s">
        <v>120</v>
      </c>
      <c r="B20" s="0" t="n">
        <f aca="false">'4. Normalisasi'!B20*'3. Bobot &amp; Kriteria'!$B$5</f>
        <v>0.054232614454664</v>
      </c>
      <c r="C20" s="0" t="n">
        <f aca="false">'4. Normalisasi'!C20*'3. Bobot &amp; Kriteria'!$C$5</f>
        <v>0.0390434404721515</v>
      </c>
      <c r="D20" s="0" t="n">
        <f aca="false">'4. Normalisasi'!D20*'3. Bobot &amp; Kriteria'!$D$5</f>
        <v>0.0159574468085106</v>
      </c>
      <c r="E20" s="0" t="n">
        <f aca="false">'4. Normalisasi'!E20*'3. Bobot &amp; Kriteria'!$E$5</f>
        <v>0.0587301232168674</v>
      </c>
    </row>
    <row r="21" customFormat="false" ht="15" hidden="false" customHeight="false" outlineLevel="0" collapsed="false">
      <c r="A21" s="0" t="s">
        <v>121</v>
      </c>
      <c r="B21" s="0" t="n">
        <f aca="false">'4. Normalisasi'!B21*'3. Bobot &amp; Kriteria'!$B$5</f>
        <v>0.054232614454664</v>
      </c>
      <c r="C21" s="0" t="n">
        <f aca="false">'4. Normalisasi'!C21*'3. Bobot &amp; Kriteria'!$C$5</f>
        <v>0.078086880944303</v>
      </c>
      <c r="D21" s="0" t="n">
        <f aca="false">'4. Normalisasi'!D21*'3. Bobot &amp; Kriteria'!$D$5</f>
        <v>0.106382978723404</v>
      </c>
      <c r="E21" s="0" t="n">
        <f aca="false">'4. Normalisasi'!E21*'3. Bobot &amp; Kriteria'!$E$5</f>
        <v>0.0587301232168674</v>
      </c>
    </row>
    <row r="22" customFormat="false" ht="15" hidden="false" customHeight="false" outlineLevel="0" collapsed="false">
      <c r="A22" s="0" t="s">
        <v>122</v>
      </c>
      <c r="B22" s="0" t="n">
        <f aca="false">'4. Normalisasi'!B22*'3. Bobot &amp; Kriteria'!$B$5</f>
        <v>0.054232614454664</v>
      </c>
      <c r="C22" s="0" t="n">
        <f aca="false">'4. Normalisasi'!C22*'3. Bobot &amp; Kriteria'!$C$5</f>
        <v>0.078086880944303</v>
      </c>
      <c r="D22" s="0" t="n">
        <f aca="false">'4. Normalisasi'!D22*'3. Bobot &amp; Kriteria'!$D$5</f>
        <v>0.106382978723404</v>
      </c>
      <c r="E22" s="0" t="n">
        <f aca="false">'4. Normalisasi'!E22*'3. Bobot &amp; Kriteria'!$E$5</f>
        <v>0.117460246433735</v>
      </c>
    </row>
    <row r="23" customFormat="false" ht="15" hidden="false" customHeight="false" outlineLevel="0" collapsed="false">
      <c r="A23" s="0" t="s">
        <v>123</v>
      </c>
      <c r="B23" s="0" t="n">
        <f aca="false">'4. Normalisasi'!B23*'3. Bobot &amp; Kriteria'!$B$5</f>
        <v>0.054232614454664</v>
      </c>
      <c r="C23" s="0" t="n">
        <f aca="false">'4. Normalisasi'!C23*'3. Bobot &amp; Kriteria'!$C$5</f>
        <v>0.078086880944303</v>
      </c>
      <c r="D23" s="0" t="n">
        <f aca="false">'4. Normalisasi'!D23*'3. Bobot &amp; Kriteria'!$D$5</f>
        <v>0.074468085106383</v>
      </c>
      <c r="E23" s="0" t="n">
        <f aca="false">'4. Normalisasi'!E23*'3. Bobot &amp; Kriteria'!$E$5</f>
        <v>0.117460246433735</v>
      </c>
    </row>
    <row r="24" customFormat="false" ht="15" hidden="false" customHeight="false" outlineLevel="0" collapsed="false">
      <c r="A24" s="0" t="s">
        <v>124</v>
      </c>
      <c r="B24" s="0" t="n">
        <f aca="false">'4. Normalisasi'!B24*'3. Bobot &amp; Kriteria'!$B$5</f>
        <v>0.054232614454664</v>
      </c>
      <c r="C24" s="0" t="n">
        <f aca="false">'4. Normalisasi'!C24*'3. Bobot &amp; Kriteria'!$C$5</f>
        <v>0.078086880944303</v>
      </c>
      <c r="D24" s="0" t="n">
        <f aca="false">'4. Normalisasi'!D24*'3. Bobot &amp; Kriteria'!$D$5</f>
        <v>0.0159574468085106</v>
      </c>
      <c r="E24" s="0" t="n">
        <f aca="false">'4. Normalisasi'!E24*'3. Bobot &amp; Kriteria'!$E$5</f>
        <v>0.117460246433735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40"/>
  </cols>
  <sheetData>
    <row r="1" customFormat="false" ht="17.35" hidden="false" customHeight="false" outlineLevel="0" collapsed="false">
      <c r="A1" s="4" t="s">
        <v>127</v>
      </c>
    </row>
    <row r="3" customFormat="false" ht="15" hidden="false" customHeight="false" outlineLevel="0" collapsed="false">
      <c r="A3" s="5" t="s">
        <v>92</v>
      </c>
      <c r="B3" s="5" t="s">
        <v>93</v>
      </c>
      <c r="C3" s="5" t="s">
        <v>94</v>
      </c>
      <c r="D3" s="5" t="s">
        <v>95</v>
      </c>
      <c r="E3" s="5" t="s">
        <v>96</v>
      </c>
    </row>
    <row r="4" customFormat="false" ht="15" hidden="false" customHeight="false" outlineLevel="0" collapsed="false">
      <c r="A4" s="0" t="s">
        <v>128</v>
      </c>
      <c r="B4" s="0" t="n">
        <f aca="false">MAX('5. Normalisasi Terbobot'!B5:B24)</f>
        <v>0.0813489216819961</v>
      </c>
      <c r="C4" s="0" t="n">
        <f aca="false">MAX('5. Normalisasi Terbobot'!C5:C24)</f>
        <v>0.078086880944303</v>
      </c>
      <c r="D4" s="0" t="n">
        <f aca="false">MAX('5. Normalisasi Terbobot'!D5:D24)</f>
        <v>0.106382978723404</v>
      </c>
      <c r="E4" s="0" t="n">
        <f aca="false">MIN('5. Normalisasi Terbobot'!E5:E24)</f>
        <v>0.0117460246433735</v>
      </c>
    </row>
    <row r="5" customFormat="false" ht="15" hidden="false" customHeight="false" outlineLevel="0" collapsed="false">
      <c r="A5" s="0" t="s">
        <v>129</v>
      </c>
      <c r="B5" s="0" t="n">
        <f aca="false">MIN('5. Normalisasi Terbobot'!B5:B24)</f>
        <v>0.054232614454664</v>
      </c>
      <c r="C5" s="0" t="n">
        <f aca="false">MIN('5. Normalisasi Terbobot'!C5:C24)</f>
        <v>0.0390434404721515</v>
      </c>
      <c r="D5" s="0" t="n">
        <f aca="false">MIN('5. Normalisasi Terbobot'!D5:D24)</f>
        <v>0.0159574468085106</v>
      </c>
      <c r="E5" s="0" t="n">
        <f aca="false">MAX('5. Normalisasi Terbobot'!E5:E24)</f>
        <v>0.117460246433735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3" activeCellId="0" sqref="A33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3"/>
    <col collapsed="false" customWidth="true" hidden="false" outlineLevel="0" max="4" min="3" style="0" width="50"/>
    <col collapsed="false" customWidth="true" hidden="false" outlineLevel="0" max="5" min="5" style="0" width="28.23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4" t="s">
        <v>130</v>
      </c>
    </row>
    <row r="3" customFormat="false" ht="15" hidden="false" customHeight="false" outlineLevel="0" collapsed="false">
      <c r="A3" s="5" t="s">
        <v>104</v>
      </c>
      <c r="B3" s="5" t="s">
        <v>39</v>
      </c>
      <c r="C3" s="5" t="s">
        <v>131</v>
      </c>
      <c r="D3" s="5" t="s">
        <v>132</v>
      </c>
      <c r="E3" s="5" t="s">
        <v>133</v>
      </c>
      <c r="F3" s="5" t="s">
        <v>134</v>
      </c>
    </row>
    <row r="4" customFormat="false" ht="15" hidden="false" customHeight="false" outlineLevel="0" collapsed="false">
      <c r="A4" s="0" t="s">
        <v>105</v>
      </c>
      <c r="B4" s="0" t="str">
        <f aca="false">'1. Input Level'!B4</f>
        <v>Hetzner</v>
      </c>
      <c r="C4" s="0" t="n">
        <f aca="false">SQRT(SUMPRODUCT(('5. Normalisasi Terbobot'!B5:E5-'6. Solusi Ideal'!$B$4:$E$4)^2))</f>
        <v>0.102158999523493</v>
      </c>
      <c r="D4" s="0" t="n">
        <f aca="false">SQRT(SUMPRODUCT(('5. Normalisasi Terbobot'!B5:E5-'6. Solusi Ideal'!$B$5:$E$5)^2))</f>
        <v>0.105714221790361</v>
      </c>
      <c r="E4" s="0" t="n">
        <f aca="false">D4/(C4+D4)</f>
        <v>0.508551419572945</v>
      </c>
      <c r="F4" s="0" t="n">
        <f aca="false">RANK(E4,$E$4:$E$23,0)</f>
        <v>7</v>
      </c>
    </row>
    <row r="5" customFormat="false" ht="15" hidden="false" customHeight="false" outlineLevel="0" collapsed="false">
      <c r="A5" s="0" t="s">
        <v>106</v>
      </c>
      <c r="B5" s="0" t="str">
        <f aca="false">'1. Input Level'!B5</f>
        <v>OVHcloud</v>
      </c>
      <c r="C5" s="0" t="n">
        <f aca="false">SQRT(SUMPRODUCT(('5. Normalisasi Terbobot'!B6:E6-'6. Solusi Ideal'!$B$4:$E$4)^2))</f>
        <v>0.102158999523493</v>
      </c>
      <c r="D5" s="0" t="n">
        <f aca="false">SQRT(SUMPRODUCT(('5. Normalisasi Terbobot'!B6:E6-'6. Solusi Ideal'!$B$5:$E$5)^2))</f>
        <v>0.105714221790361</v>
      </c>
      <c r="E5" s="0" t="n">
        <f aca="false">D5/(C5+D5)</f>
        <v>0.508551419572945</v>
      </c>
      <c r="F5" s="0" t="n">
        <f aca="false">RANK(E5,$E$4:$E$23,0)</f>
        <v>7</v>
      </c>
    </row>
    <row r="6" customFormat="false" ht="15" hidden="false" customHeight="false" outlineLevel="0" collapsed="false">
      <c r="A6" s="0" t="s">
        <v>107</v>
      </c>
      <c r="B6" s="0" t="str">
        <f aca="false">'1. Input Level'!B6</f>
        <v>Dewaweb</v>
      </c>
      <c r="C6" s="0" t="n">
        <f aca="false">SQRT(SUMPRODUCT(('5. Normalisasi Terbobot'!B7:E7-'6. Solusi Ideal'!$B$4:$E$4)^2))</f>
        <v>0.0904255319148936</v>
      </c>
      <c r="D6" s="0" t="n">
        <f aca="false">SQRT(SUMPRODUCT(('5. Normalisasi Terbobot'!B7:E7-'6. Solusi Ideal'!$B$5:$E$5)^2))</f>
        <v>0.115910228411004</v>
      </c>
      <c r="E6" s="0" t="n">
        <f aca="false">D6/(C6+D6)</f>
        <v>0.561755404045956</v>
      </c>
      <c r="F6" s="0" t="n">
        <f aca="false">RANK(E6,$E$4:$E$23,0)</f>
        <v>6</v>
      </c>
    </row>
    <row r="7" customFormat="false" ht="15" hidden="false" customHeight="false" outlineLevel="0" collapsed="false">
      <c r="A7" s="0" t="s">
        <v>108</v>
      </c>
      <c r="B7" s="0" t="str">
        <f aca="false">'1. Input Level'!B7</f>
        <v>IDCloudHost</v>
      </c>
      <c r="C7" s="0" t="n">
        <f aca="false">SQRT(SUMPRODUCT(('5. Normalisasi Terbobot'!B8:E8-'6. Solusi Ideal'!$B$4:$E$4)^2))</f>
        <v>0.0475361374277454</v>
      </c>
      <c r="D7" s="0" t="n">
        <f aca="false">SQRT(SUMPRODUCT(('5. Normalisasi Terbobot'!B8:E8-'6. Solusi Ideal'!$B$5:$E$5)^2))</f>
        <v>0.139112449158345</v>
      </c>
      <c r="E7" s="0" t="n">
        <f aca="false">D7/(C7+D7)</f>
        <v>0.745317452989018</v>
      </c>
      <c r="F7" s="0" t="n">
        <f aca="false">RANK(E7,$E$4:$E$23,0)</f>
        <v>1</v>
      </c>
    </row>
    <row r="8" customFormat="false" ht="15" hidden="false" customHeight="false" outlineLevel="0" collapsed="false">
      <c r="A8" s="0" t="s">
        <v>109</v>
      </c>
      <c r="B8" s="0" t="str">
        <f aca="false">'1. Input Level'!B8</f>
        <v>Niagahoster</v>
      </c>
      <c r="C8" s="0" t="n">
        <f aca="false">SQRT(SUMPRODUCT(('5. Normalisasi Terbobot'!B9:E9-'6. Solusi Ideal'!$B$4:$E$4)^2))</f>
        <v>0.103352501540189</v>
      </c>
      <c r="D8" s="0" t="n">
        <f aca="false">SQRT(SUMPRODUCT(('5. Normalisasi Terbobot'!B9:E9-'6. Solusi Ideal'!$B$5:$E$5)^2))</f>
        <v>0.0900528555991968</v>
      </c>
      <c r="E8" s="0" t="n">
        <f aca="false">D8/(C8+D8)</f>
        <v>0.46561717281852</v>
      </c>
      <c r="F8" s="0" t="n">
        <f aca="false">RANK(E8,$E$4:$E$23,0)</f>
        <v>10</v>
      </c>
    </row>
    <row r="9" customFormat="false" ht="15" hidden="false" customHeight="false" outlineLevel="0" collapsed="false">
      <c r="A9" s="0" t="s">
        <v>110</v>
      </c>
      <c r="B9" s="0" t="str">
        <f aca="false">'1. Input Level'!B9</f>
        <v>Biznet Gio</v>
      </c>
      <c r="C9" s="0" t="n">
        <f aca="false">SQRT(SUMPRODUCT(('5. Normalisasi Terbobot'!B10:E10-'6. Solusi Ideal'!$B$4:$E$4)^2))</f>
        <v>0.103352501540189</v>
      </c>
      <c r="D9" s="0" t="n">
        <f aca="false">SQRT(SUMPRODUCT(('5. Normalisasi Terbobot'!B10:E10-'6. Solusi Ideal'!$B$5:$E$5)^2))</f>
        <v>0.0900528555991968</v>
      </c>
      <c r="E9" s="0" t="n">
        <f aca="false">D9/(C9+D9)</f>
        <v>0.46561717281852</v>
      </c>
      <c r="F9" s="0" t="n">
        <f aca="false">RANK(E9,$E$4:$E$23,0)</f>
        <v>10</v>
      </c>
    </row>
    <row r="10" customFormat="false" ht="15" hidden="false" customHeight="false" outlineLevel="0" collapsed="false">
      <c r="A10" s="0" t="s">
        <v>111</v>
      </c>
      <c r="B10" s="0" t="str">
        <f aca="false">'1. Input Level'!B10</f>
        <v>Rumahweb</v>
      </c>
      <c r="C10" s="0" t="n">
        <f aca="false">SQRT(SUMPRODUCT(('5. Normalisasi Terbobot'!B11:E11-'6. Solusi Ideal'!$B$4:$E$4)^2))</f>
        <v>0.103352501540189</v>
      </c>
      <c r="D10" s="0" t="n">
        <f aca="false">SQRT(SUMPRODUCT(('5. Normalisasi Terbobot'!B11:E11-'6. Solusi Ideal'!$B$5:$E$5)^2))</f>
        <v>0.0900528555991968</v>
      </c>
      <c r="E10" s="0" t="n">
        <f aca="false">D10/(C10+D10)</f>
        <v>0.46561717281852</v>
      </c>
      <c r="F10" s="0" t="n">
        <f aca="false">RANK(E10,$E$4:$E$23,0)</f>
        <v>10</v>
      </c>
    </row>
    <row r="11" customFormat="false" ht="15" hidden="false" customHeight="false" outlineLevel="0" collapsed="false">
      <c r="A11" s="0" t="s">
        <v>112</v>
      </c>
      <c r="B11" s="0" t="str">
        <f aca="false">'1. Input Level'!B11</f>
        <v>DomaiNesia</v>
      </c>
      <c r="C11" s="0" t="n">
        <f aca="false">SQRT(SUMPRODUCT(('5. Normalisasi Terbobot'!B12:E12-'6. Solusi Ideal'!$B$4:$E$4)^2))</f>
        <v>0.103352501540189</v>
      </c>
      <c r="D11" s="0" t="n">
        <f aca="false">SQRT(SUMPRODUCT(('5. Normalisasi Terbobot'!B12:E12-'6. Solusi Ideal'!$B$5:$E$5)^2))</f>
        <v>0.0900528555991968</v>
      </c>
      <c r="E11" s="0" t="n">
        <f aca="false">D11/(C11+D11)</f>
        <v>0.46561717281852</v>
      </c>
      <c r="F11" s="0" t="n">
        <f aca="false">RANK(E11,$E$4:$E$23,0)</f>
        <v>10</v>
      </c>
    </row>
    <row r="12" customFormat="false" ht="15" hidden="false" customHeight="false" outlineLevel="0" collapsed="false">
      <c r="A12" s="0" t="s">
        <v>113</v>
      </c>
      <c r="B12" s="0" t="str">
        <f aca="false">'1. Input Level'!B12</f>
        <v>Qwords</v>
      </c>
      <c r="C12" s="0" t="n">
        <f aca="false">SQRT(SUMPRODUCT(('5. Normalisasi Terbobot'!B13:E13-'6. Solusi Ideal'!$B$4:$E$4)^2))</f>
        <v>0.103352501540189</v>
      </c>
      <c r="D12" s="0" t="n">
        <f aca="false">SQRT(SUMPRODUCT(('5. Normalisasi Terbobot'!B13:E13-'6. Solusi Ideal'!$B$5:$E$5)^2))</f>
        <v>0.0900528555991968</v>
      </c>
      <c r="E12" s="0" t="n">
        <f aca="false">D12/(C12+D12)</f>
        <v>0.46561717281852</v>
      </c>
      <c r="F12" s="0" t="n">
        <f aca="false">RANK(E12,$E$4:$E$23,0)</f>
        <v>10</v>
      </c>
    </row>
    <row r="13" customFormat="false" ht="15" hidden="false" customHeight="false" outlineLevel="0" collapsed="false">
      <c r="A13" s="0" t="s">
        <v>114</v>
      </c>
      <c r="B13" s="0" t="str">
        <f aca="false">'1. Input Level'!B13</f>
        <v>Jagoan Hosting</v>
      </c>
      <c r="C13" s="0" t="n">
        <f aca="false">SQRT(SUMPRODUCT(('5. Normalisasi Terbobot'!B14:E14-'6. Solusi Ideal'!$B$4:$E$4)^2))</f>
        <v>0.103352501540189</v>
      </c>
      <c r="D13" s="0" t="n">
        <f aca="false">SQRT(SUMPRODUCT(('5. Normalisasi Terbobot'!B14:E14-'6. Solusi Ideal'!$B$5:$E$5)^2))</f>
        <v>0.0900528555991968</v>
      </c>
      <c r="E13" s="0" t="n">
        <f aca="false">D13/(C13+D13)</f>
        <v>0.46561717281852</v>
      </c>
      <c r="F13" s="0" t="n">
        <f aca="false">RANK(E13,$E$4:$E$23,0)</f>
        <v>10</v>
      </c>
    </row>
    <row r="14" customFormat="false" ht="15" hidden="false" customHeight="false" outlineLevel="0" collapsed="false">
      <c r="A14" s="0" t="s">
        <v>115</v>
      </c>
      <c r="B14" s="0" t="str">
        <f aca="false">'1. Input Level'!B14</f>
        <v>Linode</v>
      </c>
      <c r="C14" s="0" t="n">
        <f aca="false">SQRT(SUMPRODUCT(('5. Normalisasi Terbobot'!B15:E15-'6. Solusi Ideal'!$B$4:$E$4)^2))</f>
        <v>0.0593592721241512</v>
      </c>
      <c r="D14" s="0" t="n">
        <f aca="false">SQRT(SUMPRODUCT(('5. Normalisasi Terbobot'!B15:E15-'6. Solusi Ideal'!$B$5:$E$5)^2))</f>
        <v>0.107391860006214</v>
      </c>
      <c r="E14" s="0" t="n">
        <f aca="false">D14/(C14+D14)</f>
        <v>0.64402477293081</v>
      </c>
      <c r="F14" s="0" t="n">
        <f aca="false">RANK(E14,$E$4:$E$23,0)</f>
        <v>4</v>
      </c>
    </row>
    <row r="15" customFormat="false" ht="15" hidden="false" customHeight="false" outlineLevel="0" collapsed="false">
      <c r="A15" s="0" t="s">
        <v>116</v>
      </c>
      <c r="B15" s="0" t="str">
        <f aca="false">'1. Input Level'!B15</f>
        <v>DigitalOcean</v>
      </c>
      <c r="C15" s="0" t="n">
        <f aca="false">SQRT(SUMPRODUCT(('5. Normalisasi Terbobot'!B16:E16-'6. Solusi Ideal'!$B$4:$E$4)^2))</f>
        <v>0.0730362738167777</v>
      </c>
      <c r="D15" s="0" t="n">
        <f aca="false">SQRT(SUMPRODUCT(('5. Normalisasi Terbobot'!B16:E16-'6. Solusi Ideal'!$B$5:$E$5)^2))</f>
        <v>0.0974468610393514</v>
      </c>
      <c r="E15" s="0" t="n">
        <f aca="false">D15/(C15+D15)</f>
        <v>0.57159238139061</v>
      </c>
      <c r="F15" s="0" t="n">
        <f aca="false">RANK(E15,$E$4:$E$23,0)</f>
        <v>5</v>
      </c>
    </row>
    <row r="16" customFormat="false" ht="15" hidden="false" customHeight="false" outlineLevel="0" collapsed="false">
      <c r="A16" s="0" t="s">
        <v>117</v>
      </c>
      <c r="B16" s="0" t="str">
        <f aca="false">'1. Input Level'!B16</f>
        <v>Vultr</v>
      </c>
      <c r="C16" s="0" t="n">
        <f aca="false">SQRT(SUMPRODUCT(('5. Normalisasi Terbobot'!B17:E17-'6. Solusi Ideal'!$B$4:$E$4)^2))</f>
        <v>0.0500496029207351</v>
      </c>
      <c r="D16" s="0" t="n">
        <f aca="false">SQRT(SUMPRODUCT(('5. Normalisasi Terbobot'!B17:E17-'6. Solusi Ideal'!$B$5:$E$5)^2))</f>
        <v>0.127617763746515</v>
      </c>
      <c r="E16" s="0" t="n">
        <f aca="false">D16/(C16+D16)</f>
        <v>0.718296027798554</v>
      </c>
      <c r="F16" s="0" t="n">
        <f aca="false">RANK(E16,$E$4:$E$23,0)</f>
        <v>2</v>
      </c>
    </row>
    <row r="17" customFormat="false" ht="15" hidden="false" customHeight="false" outlineLevel="0" collapsed="false">
      <c r="A17" s="0" t="s">
        <v>118</v>
      </c>
      <c r="B17" s="0" t="str">
        <f aca="false">'1. Input Level'!B17</f>
        <v>Tencent Cloud</v>
      </c>
      <c r="C17" s="0" t="n">
        <f aca="false">SQRT(SUMPRODUCT(('5. Normalisasi Terbobot'!B18:E18-'6. Solusi Ideal'!$B$4:$E$4)^2))</f>
        <v>0.105449402361997</v>
      </c>
      <c r="D17" s="0" t="n">
        <f aca="false">SQRT(SUMPRODUCT(('5. Normalisasi Terbobot'!B18:E18-'6. Solusi Ideal'!$B$5:$E$5)^2))</f>
        <v>0.0705238797640265</v>
      </c>
      <c r="E17" s="0" t="n">
        <f aca="false">D17/(C17+D17)</f>
        <v>0.400764700822713</v>
      </c>
      <c r="F17" s="0" t="n">
        <f aca="false">RANK(E17,$E$4:$E$23,0)</f>
        <v>16</v>
      </c>
    </row>
    <row r="18" customFormat="false" ht="15" hidden="false" customHeight="false" outlineLevel="0" collapsed="false">
      <c r="A18" s="0" t="s">
        <v>119</v>
      </c>
      <c r="B18" s="0" t="str">
        <f aca="false">'1. Input Level'!B18</f>
        <v>Scaleway</v>
      </c>
      <c r="C18" s="0" t="n">
        <f aca="false">SQRT(SUMPRODUCT(('5. Normalisasi Terbobot'!B19:E19-'6. Solusi Ideal'!$B$4:$E$4)^2))</f>
        <v>0.105449402361997</v>
      </c>
      <c r="D18" s="0" t="n">
        <f aca="false">SQRT(SUMPRODUCT(('5. Normalisasi Terbobot'!B19:E19-'6. Solusi Ideal'!$B$5:$E$5)^2))</f>
        <v>0.0705238797640265</v>
      </c>
      <c r="E18" s="0" t="n">
        <f aca="false">D18/(C18+D18)</f>
        <v>0.400764700822713</v>
      </c>
      <c r="F18" s="0" t="n">
        <f aca="false">RANK(E18,$E$4:$E$23,0)</f>
        <v>16</v>
      </c>
    </row>
    <row r="19" customFormat="false" ht="15" hidden="false" customHeight="false" outlineLevel="0" collapsed="false">
      <c r="A19" s="0" t="s">
        <v>120</v>
      </c>
      <c r="B19" s="0" t="str">
        <f aca="false">'1. Input Level'!B19</f>
        <v>UpCloud</v>
      </c>
      <c r="C19" s="0" t="n">
        <f aca="false">SQRT(SUMPRODUCT(('5. Normalisasi Terbobot'!B20:E20-'6. Solusi Ideal'!$B$4:$E$4)^2))</f>
        <v>0.112445394313883</v>
      </c>
      <c r="D19" s="0" t="n">
        <f aca="false">SQRT(SUMPRODUCT(('5. Normalisasi Terbobot'!B20:E20-'6. Solusi Ideal'!$B$5:$E$5)^2))</f>
        <v>0.0587301232168674</v>
      </c>
      <c r="E19" s="0" t="n">
        <f aca="false">D19/(C19+D19)</f>
        <v>0.343098850022854</v>
      </c>
      <c r="F19" s="0" t="n">
        <f aca="false">RANK(E19,$E$4:$E$23,0)</f>
        <v>19</v>
      </c>
    </row>
    <row r="20" customFormat="false" ht="15" hidden="false" customHeight="false" outlineLevel="0" collapsed="false">
      <c r="A20" s="0" t="s">
        <v>121</v>
      </c>
      <c r="B20" s="0" t="str">
        <f aca="false">'1. Input Level'!B20</f>
        <v>Alibaba Cloud</v>
      </c>
      <c r="C20" s="0" t="n">
        <f aca="false">SQRT(SUMPRODUCT(('5. Normalisasi Terbobot'!B21:E21-'6. Solusi Ideal'!$B$4:$E$4)^2))</f>
        <v>0.05424757724001</v>
      </c>
      <c r="D20" s="0" t="n">
        <f aca="false">SQRT(SUMPRODUCT(('5. Normalisasi Terbobot'!B21:E21-'6. Solusi Ideal'!$B$5:$E$5)^2))</f>
        <v>0.114675169234941</v>
      </c>
      <c r="E20" s="0" t="n">
        <f aca="false">D20/(C20+D20)</f>
        <v>0.678861619456002</v>
      </c>
      <c r="F20" s="0" t="n">
        <f aca="false">RANK(E20,$E$4:$E$23,0)</f>
        <v>3</v>
      </c>
    </row>
    <row r="21" customFormat="false" ht="15" hidden="false" customHeight="false" outlineLevel="0" collapsed="false">
      <c r="A21" s="0" t="s">
        <v>122</v>
      </c>
      <c r="B21" s="0" t="str">
        <f aca="false">'1. Input Level'!B21</f>
        <v>Google Cloud</v>
      </c>
      <c r="C21" s="0" t="n">
        <f aca="false">SQRT(SUMPRODUCT(('5. Normalisasi Terbobot'!B22:E22-'6. Solusi Ideal'!$B$4:$E$4)^2))</f>
        <v>0.109136569519061</v>
      </c>
      <c r="D21" s="0" t="n">
        <f aca="false">SQRT(SUMPRODUCT(('5. Normalisasi Terbobot'!B22:E22-'6. Solusi Ideal'!$B$5:$E$5)^2))</f>
        <v>0.0984945027196639</v>
      </c>
      <c r="E21" s="0" t="n">
        <f aca="false">D21/(C21+D21)</f>
        <v>0.474372653657635</v>
      </c>
      <c r="F21" s="0" t="n">
        <f aca="false">RANK(E21,$E$4:$E$23,0)</f>
        <v>9</v>
      </c>
    </row>
    <row r="22" customFormat="false" ht="15" hidden="false" customHeight="false" outlineLevel="0" collapsed="false">
      <c r="A22" s="0" t="s">
        <v>123</v>
      </c>
      <c r="B22" s="0" t="str">
        <f aca="false">'1. Input Level'!B22</f>
        <v>AWS EC2</v>
      </c>
      <c r="C22" s="0" t="n">
        <f aca="false">SQRT(SUMPRODUCT(('5. Normalisasi Terbobot'!B23:E23-'6. Solusi Ideal'!$B$4:$E$4)^2))</f>
        <v>0.113707305134607</v>
      </c>
      <c r="D22" s="0" t="n">
        <f aca="false">SQRT(SUMPRODUCT(('5. Normalisasi Terbobot'!B23:E23-'6. Solusi Ideal'!$B$5:$E$5)^2))</f>
        <v>0.0703412044105508</v>
      </c>
      <c r="E22" s="0" t="n">
        <f aca="false">D22/(C22+D22)</f>
        <v>0.382188394703039</v>
      </c>
      <c r="F22" s="0" t="n">
        <f aca="false">RANK(E22,$E$4:$E$23,0)</f>
        <v>18</v>
      </c>
    </row>
    <row r="23" customFormat="false" ht="15" hidden="false" customHeight="false" outlineLevel="0" collapsed="false">
      <c r="A23" s="0" t="s">
        <v>124</v>
      </c>
      <c r="B23" s="0" t="str">
        <f aca="false">'1. Input Level'!B23</f>
        <v>Azure</v>
      </c>
      <c r="C23" s="0" t="n">
        <f aca="false">SQRT(SUMPRODUCT(('5. Normalisasi Terbobot'!B24:E24-'6. Solusi Ideal'!$B$4:$E$4)^2))</f>
        <v>0.14173061641184</v>
      </c>
      <c r="D23" s="0" t="n">
        <f aca="false">SQRT(SUMPRODUCT(('5. Normalisasi Terbobot'!B24:E24-'6. Solusi Ideal'!$B$5:$E$5)^2))</f>
        <v>0.0390434404721515</v>
      </c>
      <c r="E23" s="0" t="n">
        <f aca="false">D23/(C23+D23)</f>
        <v>0.2159792237069</v>
      </c>
      <c r="F23" s="0" t="n">
        <f aca="false">RANK(E23,$E$4:$E$23,0)</f>
        <v>20</v>
      </c>
    </row>
    <row r="26" customFormat="false" ht="15" hidden="false" customHeight="false" outlineLevel="0" collapsed="false">
      <c r="A26" s="0" t="s">
        <v>135</v>
      </c>
    </row>
    <row r="27" customFormat="false" ht="15" hidden="false" customHeight="false" outlineLevel="0" collapsed="false">
      <c r="A27" s="0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2025-12-09T15:51:15Z</dcterms:created>
  <dc:creator>openpyxl</dc:creator>
  <dc:description/>
  <dc:language>en-US</dc:language>
  <cp:lastModifiedBy/>
  <dcterms:modified xsi:type="dcterms:W3CDTF">2025-12-09T23:19:03Z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